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d1bd21a83edf255/Desktop/Trading System/"/>
    </mc:Choice>
  </mc:AlternateContent>
  <xr:revisionPtr revIDLastSave="0" documentId="11_AC2D57271251B1C837B53BDED290A7124F3F60CB" xr6:coauthVersionLast="47" xr6:coauthVersionMax="47" xr10:uidLastSave="{00000000-0000-0000-0000-000000000000}"/>
  <bookViews>
    <workbookView xWindow="-38520" yWindow="-7095" windowWidth="38640" windowHeight="21120" tabRatio="500" activeTab="9" xr2:uid="{00000000-000D-0000-FFFF-FFFF00000000}"/>
  </bookViews>
  <sheets>
    <sheet name="Guide" sheetId="1" r:id="rId1"/>
    <sheet name="Calendar" sheetId="2" r:id="rId2"/>
    <sheet name="Bias" sheetId="3" r:id="rId3"/>
    <sheet name="Bias Builder" sheetId="4" r:id="rId4"/>
    <sheet name="Compare" sheetId="5" r:id="rId5"/>
    <sheet name="Events" sheetId="6" r:id="rId6"/>
    <sheet name="Scorecard" sheetId="7" r:id="rId7"/>
    <sheet name="Risk &amp; Gold" sheetId="8" r:id="rId8"/>
    <sheet name="Key Levels" sheetId="9" r:id="rId9"/>
    <sheet name="Journal" sheetId="10" r:id="rId10"/>
    <sheet name="Hub" sheetId="11" r:id="rId11"/>
    <sheet name="Sources" sheetId="12" r:id="rId12"/>
    <sheet name="Update Log" sheetId="13" r:id="rId13"/>
    <sheet name="Prompts" sheetId="14" r:id="rId14"/>
  </sheets>
  <definedNames>
    <definedName name="_xlnm._FilterDatabase" localSheetId="8" hidden="1">'Key Levels'!$A$12:$L$52</definedName>
    <definedName name="_xlnm.Print_Titles" localSheetId="2">Bias!$1:$2</definedName>
    <definedName name="_xlnm.Print_Titles" localSheetId="4">Compare!$1:$2</definedName>
    <definedName name="_xlnm.Print_Titles" localSheetId="0">Guide!$1:$2</definedName>
    <definedName name="_xlnm.Print_Titles" localSheetId="10">Hub!$1:$2</definedName>
    <definedName name="_xlnm.Print_Titles" localSheetId="9">Journal!$1:$2</definedName>
    <definedName name="_xlnm.Print_Titles" localSheetId="8">'Key Levels'!$1:$2</definedName>
    <definedName name="_xlnm.Print_Titles" localSheetId="7">'Risk &amp; Gold'!$1:$2</definedName>
    <definedName name="_xlnm.Print_Titles" localSheetId="6">Scorecard!$1:$2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1" l="1"/>
  <c r="B33" i="11"/>
  <c r="E13" i="11"/>
  <c r="E12" i="11"/>
  <c r="E11" i="11"/>
  <c r="E10" i="11"/>
  <c r="E9" i="11"/>
  <c r="E8" i="11"/>
  <c r="E7" i="11"/>
  <c r="E6" i="11"/>
  <c r="K52" i="9"/>
  <c r="L52" i="9" s="1"/>
  <c r="K51" i="9"/>
  <c r="L51" i="9" s="1"/>
  <c r="K50" i="9"/>
  <c r="L50" i="9" s="1"/>
  <c r="K49" i="9"/>
  <c r="L49" i="9" s="1"/>
  <c r="K48" i="9"/>
  <c r="L48" i="9" s="1"/>
  <c r="K47" i="9"/>
  <c r="L47" i="9" s="1"/>
  <c r="K46" i="9"/>
  <c r="L46" i="9" s="1"/>
  <c r="K45" i="9"/>
  <c r="L45" i="9" s="1"/>
  <c r="K44" i="9"/>
  <c r="L44" i="9" s="1"/>
  <c r="K43" i="9"/>
  <c r="L43" i="9" s="1"/>
  <c r="K42" i="9"/>
  <c r="L42" i="9" s="1"/>
  <c r="K41" i="9"/>
  <c r="L41" i="9" s="1"/>
  <c r="K40" i="9"/>
  <c r="L40" i="9" s="1"/>
  <c r="K39" i="9"/>
  <c r="L39" i="9" s="1"/>
  <c r="K38" i="9"/>
  <c r="L38" i="9" s="1"/>
  <c r="K37" i="9"/>
  <c r="L37" i="9" s="1"/>
  <c r="K36" i="9"/>
  <c r="L36" i="9" s="1"/>
  <c r="K35" i="9"/>
  <c r="L35" i="9" s="1"/>
  <c r="K34" i="9"/>
  <c r="L34" i="9" s="1"/>
  <c r="K33" i="9"/>
  <c r="L33" i="9" s="1"/>
  <c r="K32" i="9"/>
  <c r="L32" i="9" s="1"/>
  <c r="K31" i="9"/>
  <c r="L31" i="9" s="1"/>
  <c r="K30" i="9"/>
  <c r="L30" i="9" s="1"/>
  <c r="K29" i="9"/>
  <c r="L29" i="9" s="1"/>
  <c r="K28" i="9"/>
  <c r="L28" i="9" s="1"/>
  <c r="K27" i="9"/>
  <c r="L27" i="9" s="1"/>
  <c r="K26" i="9"/>
  <c r="L26" i="9" s="1"/>
  <c r="K25" i="9"/>
  <c r="L25" i="9" s="1"/>
  <c r="K24" i="9"/>
  <c r="L24" i="9" s="1"/>
  <c r="K23" i="9"/>
  <c r="L23" i="9" s="1"/>
  <c r="K22" i="9"/>
  <c r="L22" i="9" s="1"/>
  <c r="K21" i="9"/>
  <c r="L21" i="9" s="1"/>
  <c r="K20" i="9"/>
  <c r="L20" i="9" s="1"/>
  <c r="K19" i="9"/>
  <c r="L19" i="9" s="1"/>
  <c r="K18" i="9"/>
  <c r="L18" i="9" s="1"/>
  <c r="K17" i="9"/>
  <c r="L17" i="9" s="1"/>
  <c r="K16" i="9"/>
  <c r="L16" i="9" s="1"/>
  <c r="K15" i="9"/>
  <c r="L15" i="9" s="1"/>
  <c r="K14" i="9"/>
  <c r="L14" i="9" s="1"/>
  <c r="K13" i="9"/>
  <c r="L13" i="9" s="1"/>
  <c r="E16" i="8"/>
  <c r="J75" i="4" s="1"/>
  <c r="D14" i="8"/>
  <c r="D13" i="8"/>
  <c r="B8" i="8"/>
  <c r="P12" i="7"/>
  <c r="O12" i="7"/>
  <c r="N12" i="7"/>
  <c r="M12" i="7"/>
  <c r="Q12" i="7" s="1"/>
  <c r="R12" i="7" s="1"/>
  <c r="D12" i="7"/>
  <c r="P11" i="7"/>
  <c r="O11" i="7"/>
  <c r="N11" i="7"/>
  <c r="M11" i="7"/>
  <c r="Q11" i="7" s="1"/>
  <c r="R11" i="7" s="1"/>
  <c r="D11" i="7"/>
  <c r="P10" i="7"/>
  <c r="O10" i="7"/>
  <c r="N10" i="7"/>
  <c r="M10" i="7"/>
  <c r="Q10" i="7" s="1"/>
  <c r="R10" i="7" s="1"/>
  <c r="D10" i="7"/>
  <c r="P9" i="7"/>
  <c r="O9" i="7"/>
  <c r="N9" i="7"/>
  <c r="M9" i="7"/>
  <c r="Q9" i="7" s="1"/>
  <c r="R9" i="7" s="1"/>
  <c r="D9" i="7"/>
  <c r="P8" i="7"/>
  <c r="J65" i="4" s="1"/>
  <c r="O8" i="7"/>
  <c r="J64" i="4" s="1"/>
  <c r="N8" i="7"/>
  <c r="J61" i="4" s="1"/>
  <c r="M8" i="7"/>
  <c r="D8" i="7"/>
  <c r="B61" i="4" s="1"/>
  <c r="P7" i="7"/>
  <c r="O7" i="7"/>
  <c r="N7" i="7"/>
  <c r="M7" i="7"/>
  <c r="D7" i="7"/>
  <c r="B47" i="4" s="1"/>
  <c r="P6" i="7"/>
  <c r="J37" i="4" s="1"/>
  <c r="O6" i="7"/>
  <c r="J36" i="4" s="1"/>
  <c r="N6" i="7"/>
  <c r="J33" i="4" s="1"/>
  <c r="M6" i="7"/>
  <c r="D6" i="7"/>
  <c r="B33" i="4" s="1"/>
  <c r="P5" i="7"/>
  <c r="O5" i="7"/>
  <c r="N5" i="7"/>
  <c r="M5" i="7"/>
  <c r="D5" i="7"/>
  <c r="B19" i="4" s="1"/>
  <c r="M304" i="6"/>
  <c r="L304" i="6"/>
  <c r="K304" i="6"/>
  <c r="M303" i="6"/>
  <c r="L303" i="6"/>
  <c r="K303" i="6"/>
  <c r="M302" i="6"/>
  <c r="L302" i="6"/>
  <c r="K302" i="6"/>
  <c r="M301" i="6"/>
  <c r="L301" i="6"/>
  <c r="K301" i="6"/>
  <c r="M300" i="6"/>
  <c r="L300" i="6"/>
  <c r="K300" i="6"/>
  <c r="M299" i="6"/>
  <c r="L299" i="6"/>
  <c r="K299" i="6"/>
  <c r="M298" i="6"/>
  <c r="L298" i="6"/>
  <c r="K298" i="6"/>
  <c r="M297" i="6"/>
  <c r="L297" i="6"/>
  <c r="K297" i="6"/>
  <c r="M296" i="6"/>
  <c r="L296" i="6"/>
  <c r="K296" i="6"/>
  <c r="M295" i="6"/>
  <c r="L295" i="6"/>
  <c r="K295" i="6"/>
  <c r="M294" i="6"/>
  <c r="L294" i="6"/>
  <c r="K294" i="6"/>
  <c r="M293" i="6"/>
  <c r="L293" i="6"/>
  <c r="K293" i="6"/>
  <c r="M292" i="6"/>
  <c r="L292" i="6"/>
  <c r="K292" i="6"/>
  <c r="M291" i="6"/>
  <c r="L291" i="6"/>
  <c r="K291" i="6"/>
  <c r="M290" i="6"/>
  <c r="L290" i="6"/>
  <c r="K290" i="6"/>
  <c r="M289" i="6"/>
  <c r="L289" i="6"/>
  <c r="K289" i="6"/>
  <c r="M288" i="6"/>
  <c r="L288" i="6"/>
  <c r="K288" i="6"/>
  <c r="M287" i="6"/>
  <c r="L287" i="6"/>
  <c r="K287" i="6"/>
  <c r="M286" i="6"/>
  <c r="L286" i="6"/>
  <c r="K286" i="6"/>
  <c r="M285" i="6"/>
  <c r="L285" i="6"/>
  <c r="K285" i="6"/>
  <c r="M284" i="6"/>
  <c r="L284" i="6"/>
  <c r="K284" i="6"/>
  <c r="M283" i="6"/>
  <c r="L283" i="6"/>
  <c r="K283" i="6"/>
  <c r="M282" i="6"/>
  <c r="L282" i="6"/>
  <c r="K282" i="6"/>
  <c r="M281" i="6"/>
  <c r="L281" i="6"/>
  <c r="K281" i="6"/>
  <c r="M280" i="6"/>
  <c r="L280" i="6"/>
  <c r="K280" i="6"/>
  <c r="M279" i="6"/>
  <c r="L279" i="6"/>
  <c r="K279" i="6"/>
  <c r="M278" i="6"/>
  <c r="L278" i="6"/>
  <c r="K278" i="6"/>
  <c r="M277" i="6"/>
  <c r="L277" i="6"/>
  <c r="K277" i="6"/>
  <c r="M276" i="6"/>
  <c r="L276" i="6"/>
  <c r="K276" i="6"/>
  <c r="M275" i="6"/>
  <c r="L275" i="6"/>
  <c r="K275" i="6"/>
  <c r="M274" i="6"/>
  <c r="L274" i="6"/>
  <c r="K274" i="6"/>
  <c r="M273" i="6"/>
  <c r="L273" i="6"/>
  <c r="K273" i="6"/>
  <c r="M272" i="6"/>
  <c r="L272" i="6"/>
  <c r="K272" i="6"/>
  <c r="M271" i="6"/>
  <c r="L271" i="6"/>
  <c r="K271" i="6"/>
  <c r="M270" i="6"/>
  <c r="L270" i="6"/>
  <c r="K270" i="6"/>
  <c r="M269" i="6"/>
  <c r="L269" i="6"/>
  <c r="K269" i="6"/>
  <c r="M268" i="6"/>
  <c r="L268" i="6"/>
  <c r="K268" i="6"/>
  <c r="M267" i="6"/>
  <c r="L267" i="6"/>
  <c r="K267" i="6"/>
  <c r="M266" i="6"/>
  <c r="L266" i="6"/>
  <c r="K266" i="6"/>
  <c r="M265" i="6"/>
  <c r="L265" i="6"/>
  <c r="K265" i="6"/>
  <c r="M264" i="6"/>
  <c r="L264" i="6"/>
  <c r="K264" i="6"/>
  <c r="M263" i="6"/>
  <c r="L263" i="6"/>
  <c r="K263" i="6"/>
  <c r="M262" i="6"/>
  <c r="L262" i="6"/>
  <c r="K262" i="6"/>
  <c r="M261" i="6"/>
  <c r="L261" i="6"/>
  <c r="K261" i="6"/>
  <c r="M260" i="6"/>
  <c r="L260" i="6"/>
  <c r="K260" i="6"/>
  <c r="M259" i="6"/>
  <c r="L259" i="6"/>
  <c r="K259" i="6"/>
  <c r="M258" i="6"/>
  <c r="L258" i="6"/>
  <c r="K258" i="6"/>
  <c r="M257" i="6"/>
  <c r="L257" i="6"/>
  <c r="K257" i="6"/>
  <c r="M256" i="6"/>
  <c r="L256" i="6"/>
  <c r="K256" i="6"/>
  <c r="M255" i="6"/>
  <c r="L255" i="6"/>
  <c r="K255" i="6"/>
  <c r="M254" i="6"/>
  <c r="L254" i="6"/>
  <c r="K254" i="6"/>
  <c r="M253" i="6"/>
  <c r="L253" i="6"/>
  <c r="K253" i="6"/>
  <c r="M252" i="6"/>
  <c r="L252" i="6"/>
  <c r="K252" i="6"/>
  <c r="M251" i="6"/>
  <c r="L251" i="6"/>
  <c r="K251" i="6"/>
  <c r="M250" i="6"/>
  <c r="L250" i="6"/>
  <c r="K250" i="6"/>
  <c r="M249" i="6"/>
  <c r="L249" i="6"/>
  <c r="K249" i="6"/>
  <c r="M248" i="6"/>
  <c r="L248" i="6"/>
  <c r="K248" i="6"/>
  <c r="M247" i="6"/>
  <c r="L247" i="6"/>
  <c r="K247" i="6"/>
  <c r="M246" i="6"/>
  <c r="L246" i="6"/>
  <c r="K246" i="6"/>
  <c r="M245" i="6"/>
  <c r="L245" i="6"/>
  <c r="K245" i="6"/>
  <c r="M244" i="6"/>
  <c r="L244" i="6"/>
  <c r="K244" i="6"/>
  <c r="M243" i="6"/>
  <c r="L243" i="6"/>
  <c r="K243" i="6"/>
  <c r="M242" i="6"/>
  <c r="L242" i="6"/>
  <c r="K242" i="6"/>
  <c r="M241" i="6"/>
  <c r="L241" i="6"/>
  <c r="K241" i="6"/>
  <c r="M240" i="6"/>
  <c r="L240" i="6"/>
  <c r="K240" i="6"/>
  <c r="M239" i="6"/>
  <c r="L239" i="6"/>
  <c r="K239" i="6"/>
  <c r="M238" i="6"/>
  <c r="L238" i="6"/>
  <c r="K238" i="6"/>
  <c r="M237" i="6"/>
  <c r="L237" i="6"/>
  <c r="K237" i="6"/>
  <c r="M236" i="6"/>
  <c r="L236" i="6"/>
  <c r="K236" i="6"/>
  <c r="M235" i="6"/>
  <c r="L235" i="6"/>
  <c r="K235" i="6"/>
  <c r="M234" i="6"/>
  <c r="L234" i="6"/>
  <c r="K234" i="6"/>
  <c r="M233" i="6"/>
  <c r="L233" i="6"/>
  <c r="K233" i="6"/>
  <c r="M232" i="6"/>
  <c r="L232" i="6"/>
  <c r="K232" i="6"/>
  <c r="M231" i="6"/>
  <c r="L231" i="6"/>
  <c r="K231" i="6"/>
  <c r="M230" i="6"/>
  <c r="L230" i="6"/>
  <c r="K230" i="6"/>
  <c r="M229" i="6"/>
  <c r="L229" i="6"/>
  <c r="K229" i="6"/>
  <c r="M228" i="6"/>
  <c r="L228" i="6"/>
  <c r="K228" i="6"/>
  <c r="M227" i="6"/>
  <c r="L227" i="6"/>
  <c r="K227" i="6"/>
  <c r="M226" i="6"/>
  <c r="L226" i="6"/>
  <c r="K226" i="6"/>
  <c r="M225" i="6"/>
  <c r="L225" i="6"/>
  <c r="K225" i="6"/>
  <c r="M224" i="6"/>
  <c r="L224" i="6"/>
  <c r="K224" i="6"/>
  <c r="M223" i="6"/>
  <c r="L223" i="6"/>
  <c r="K223" i="6"/>
  <c r="M222" i="6"/>
  <c r="L222" i="6"/>
  <c r="K222" i="6"/>
  <c r="M221" i="6"/>
  <c r="L221" i="6"/>
  <c r="K221" i="6"/>
  <c r="M220" i="6"/>
  <c r="L220" i="6"/>
  <c r="K220" i="6"/>
  <c r="M219" i="6"/>
  <c r="L219" i="6"/>
  <c r="K219" i="6"/>
  <c r="M218" i="6"/>
  <c r="L218" i="6"/>
  <c r="K218" i="6"/>
  <c r="M217" i="6"/>
  <c r="L217" i="6"/>
  <c r="K217" i="6"/>
  <c r="M216" i="6"/>
  <c r="L216" i="6"/>
  <c r="K216" i="6"/>
  <c r="M215" i="6"/>
  <c r="L215" i="6"/>
  <c r="K215" i="6"/>
  <c r="M214" i="6"/>
  <c r="L214" i="6"/>
  <c r="K214" i="6"/>
  <c r="M213" i="6"/>
  <c r="L213" i="6"/>
  <c r="K213" i="6"/>
  <c r="M212" i="6"/>
  <c r="L212" i="6"/>
  <c r="K212" i="6"/>
  <c r="M211" i="6"/>
  <c r="L211" i="6"/>
  <c r="K211" i="6"/>
  <c r="M210" i="6"/>
  <c r="L210" i="6"/>
  <c r="K210" i="6"/>
  <c r="M209" i="6"/>
  <c r="L209" i="6"/>
  <c r="K209" i="6"/>
  <c r="M208" i="6"/>
  <c r="L208" i="6"/>
  <c r="K208" i="6"/>
  <c r="M207" i="6"/>
  <c r="L207" i="6"/>
  <c r="K207" i="6"/>
  <c r="M206" i="6"/>
  <c r="L206" i="6"/>
  <c r="K206" i="6"/>
  <c r="M205" i="6"/>
  <c r="L205" i="6"/>
  <c r="K205" i="6"/>
  <c r="M204" i="6"/>
  <c r="L204" i="6"/>
  <c r="K204" i="6"/>
  <c r="M203" i="6"/>
  <c r="L203" i="6"/>
  <c r="K203" i="6"/>
  <c r="M202" i="6"/>
  <c r="L202" i="6"/>
  <c r="K202" i="6"/>
  <c r="M201" i="6"/>
  <c r="L201" i="6"/>
  <c r="K201" i="6"/>
  <c r="M200" i="6"/>
  <c r="L200" i="6"/>
  <c r="K200" i="6"/>
  <c r="M199" i="6"/>
  <c r="L199" i="6"/>
  <c r="K199" i="6"/>
  <c r="M198" i="6"/>
  <c r="L198" i="6"/>
  <c r="K198" i="6"/>
  <c r="M197" i="6"/>
  <c r="L197" i="6"/>
  <c r="K197" i="6"/>
  <c r="M196" i="6"/>
  <c r="L196" i="6"/>
  <c r="K196" i="6"/>
  <c r="M195" i="6"/>
  <c r="L195" i="6"/>
  <c r="K195" i="6"/>
  <c r="M194" i="6"/>
  <c r="L194" i="6"/>
  <c r="K194" i="6"/>
  <c r="M193" i="6"/>
  <c r="L193" i="6"/>
  <c r="K193" i="6"/>
  <c r="M192" i="6"/>
  <c r="L192" i="6"/>
  <c r="K192" i="6"/>
  <c r="M191" i="6"/>
  <c r="L191" i="6"/>
  <c r="K191" i="6"/>
  <c r="M190" i="6"/>
  <c r="L190" i="6"/>
  <c r="K190" i="6"/>
  <c r="M189" i="6"/>
  <c r="L189" i="6"/>
  <c r="K189" i="6"/>
  <c r="M188" i="6"/>
  <c r="L188" i="6"/>
  <c r="K188" i="6"/>
  <c r="M187" i="6"/>
  <c r="L187" i="6"/>
  <c r="K187" i="6"/>
  <c r="M186" i="6"/>
  <c r="L186" i="6"/>
  <c r="K186" i="6"/>
  <c r="M185" i="6"/>
  <c r="L185" i="6"/>
  <c r="K185" i="6"/>
  <c r="M184" i="6"/>
  <c r="L184" i="6"/>
  <c r="K184" i="6"/>
  <c r="M183" i="6"/>
  <c r="L183" i="6"/>
  <c r="K183" i="6"/>
  <c r="M182" i="6"/>
  <c r="L182" i="6"/>
  <c r="K182" i="6"/>
  <c r="M181" i="6"/>
  <c r="L181" i="6"/>
  <c r="K181" i="6"/>
  <c r="M180" i="6"/>
  <c r="L180" i="6"/>
  <c r="K180" i="6"/>
  <c r="M179" i="6"/>
  <c r="L179" i="6"/>
  <c r="K179" i="6"/>
  <c r="M178" i="6"/>
  <c r="L178" i="6"/>
  <c r="K178" i="6"/>
  <c r="M177" i="6"/>
  <c r="L177" i="6"/>
  <c r="K177" i="6"/>
  <c r="M176" i="6"/>
  <c r="L176" i="6"/>
  <c r="K176" i="6"/>
  <c r="M175" i="6"/>
  <c r="L175" i="6"/>
  <c r="K175" i="6"/>
  <c r="M174" i="6"/>
  <c r="L174" i="6"/>
  <c r="K174" i="6"/>
  <c r="M173" i="6"/>
  <c r="L173" i="6"/>
  <c r="K173" i="6"/>
  <c r="M172" i="6"/>
  <c r="L172" i="6"/>
  <c r="K172" i="6"/>
  <c r="M171" i="6"/>
  <c r="L171" i="6"/>
  <c r="K171" i="6"/>
  <c r="M170" i="6"/>
  <c r="L170" i="6"/>
  <c r="K170" i="6"/>
  <c r="M169" i="6"/>
  <c r="L169" i="6"/>
  <c r="K169" i="6"/>
  <c r="M168" i="6"/>
  <c r="L168" i="6"/>
  <c r="K168" i="6"/>
  <c r="M167" i="6"/>
  <c r="L167" i="6"/>
  <c r="K167" i="6"/>
  <c r="M166" i="6"/>
  <c r="L166" i="6"/>
  <c r="K166" i="6"/>
  <c r="M165" i="6"/>
  <c r="L165" i="6"/>
  <c r="K165" i="6"/>
  <c r="M164" i="6"/>
  <c r="L164" i="6"/>
  <c r="K164" i="6"/>
  <c r="M163" i="6"/>
  <c r="L163" i="6"/>
  <c r="K163" i="6"/>
  <c r="M162" i="6"/>
  <c r="L162" i="6"/>
  <c r="K162" i="6"/>
  <c r="M161" i="6"/>
  <c r="L161" i="6"/>
  <c r="K161" i="6"/>
  <c r="M160" i="6"/>
  <c r="L160" i="6"/>
  <c r="K160" i="6"/>
  <c r="M159" i="6"/>
  <c r="L159" i="6"/>
  <c r="K159" i="6"/>
  <c r="M158" i="6"/>
  <c r="L158" i="6"/>
  <c r="K158" i="6"/>
  <c r="M157" i="6"/>
  <c r="L157" i="6"/>
  <c r="K157" i="6"/>
  <c r="M156" i="6"/>
  <c r="L156" i="6"/>
  <c r="K156" i="6"/>
  <c r="M155" i="6"/>
  <c r="L155" i="6"/>
  <c r="K155" i="6"/>
  <c r="M154" i="6"/>
  <c r="L154" i="6"/>
  <c r="K154" i="6"/>
  <c r="M153" i="6"/>
  <c r="L153" i="6"/>
  <c r="K153" i="6"/>
  <c r="M152" i="6"/>
  <c r="L152" i="6"/>
  <c r="K152" i="6"/>
  <c r="M151" i="6"/>
  <c r="L151" i="6"/>
  <c r="K151" i="6"/>
  <c r="M150" i="6"/>
  <c r="L150" i="6"/>
  <c r="K150" i="6"/>
  <c r="M149" i="6"/>
  <c r="L149" i="6"/>
  <c r="K149" i="6"/>
  <c r="M148" i="6"/>
  <c r="L148" i="6"/>
  <c r="K148" i="6"/>
  <c r="M147" i="6"/>
  <c r="L147" i="6"/>
  <c r="K147" i="6"/>
  <c r="M146" i="6"/>
  <c r="L146" i="6"/>
  <c r="K146" i="6"/>
  <c r="M145" i="6"/>
  <c r="L145" i="6"/>
  <c r="K145" i="6"/>
  <c r="M144" i="6"/>
  <c r="L144" i="6"/>
  <c r="K144" i="6"/>
  <c r="M143" i="6"/>
  <c r="L143" i="6"/>
  <c r="K143" i="6"/>
  <c r="M142" i="6"/>
  <c r="L142" i="6"/>
  <c r="K142" i="6"/>
  <c r="M141" i="6"/>
  <c r="L141" i="6"/>
  <c r="K141" i="6"/>
  <c r="M140" i="6"/>
  <c r="L140" i="6"/>
  <c r="K140" i="6"/>
  <c r="M139" i="6"/>
  <c r="L139" i="6"/>
  <c r="K139" i="6"/>
  <c r="M138" i="6"/>
  <c r="L138" i="6"/>
  <c r="K138" i="6"/>
  <c r="M137" i="6"/>
  <c r="L137" i="6"/>
  <c r="K137" i="6"/>
  <c r="M136" i="6"/>
  <c r="L136" i="6"/>
  <c r="K136" i="6"/>
  <c r="M135" i="6"/>
  <c r="L135" i="6"/>
  <c r="K135" i="6"/>
  <c r="M134" i="6"/>
  <c r="L134" i="6"/>
  <c r="K134" i="6"/>
  <c r="M133" i="6"/>
  <c r="L133" i="6"/>
  <c r="K133" i="6"/>
  <c r="M132" i="6"/>
  <c r="L132" i="6"/>
  <c r="K132" i="6"/>
  <c r="M131" i="6"/>
  <c r="L131" i="6"/>
  <c r="K131" i="6"/>
  <c r="M130" i="6"/>
  <c r="L130" i="6"/>
  <c r="K130" i="6"/>
  <c r="M129" i="6"/>
  <c r="L129" i="6"/>
  <c r="K129" i="6"/>
  <c r="M128" i="6"/>
  <c r="L128" i="6"/>
  <c r="K128" i="6"/>
  <c r="M127" i="6"/>
  <c r="L127" i="6"/>
  <c r="K127" i="6"/>
  <c r="M126" i="6"/>
  <c r="L126" i="6"/>
  <c r="K126" i="6"/>
  <c r="M125" i="6"/>
  <c r="L125" i="6"/>
  <c r="K125" i="6"/>
  <c r="M124" i="6"/>
  <c r="L124" i="6"/>
  <c r="K124" i="6"/>
  <c r="M123" i="6"/>
  <c r="L123" i="6"/>
  <c r="K123" i="6"/>
  <c r="M122" i="6"/>
  <c r="L122" i="6"/>
  <c r="K122" i="6"/>
  <c r="M121" i="6"/>
  <c r="L121" i="6"/>
  <c r="K121" i="6"/>
  <c r="M120" i="6"/>
  <c r="L120" i="6"/>
  <c r="K120" i="6"/>
  <c r="M119" i="6"/>
  <c r="L119" i="6"/>
  <c r="K119" i="6"/>
  <c r="M118" i="6"/>
  <c r="L118" i="6"/>
  <c r="K118" i="6"/>
  <c r="M117" i="6"/>
  <c r="L117" i="6"/>
  <c r="K117" i="6"/>
  <c r="M116" i="6"/>
  <c r="L116" i="6"/>
  <c r="K116" i="6"/>
  <c r="M115" i="6"/>
  <c r="L115" i="6"/>
  <c r="K115" i="6"/>
  <c r="M114" i="6"/>
  <c r="L114" i="6"/>
  <c r="K114" i="6"/>
  <c r="M113" i="6"/>
  <c r="L113" i="6"/>
  <c r="K113" i="6"/>
  <c r="M112" i="6"/>
  <c r="L112" i="6"/>
  <c r="K112" i="6"/>
  <c r="M111" i="6"/>
  <c r="L111" i="6"/>
  <c r="K111" i="6"/>
  <c r="M110" i="6"/>
  <c r="L110" i="6"/>
  <c r="K110" i="6"/>
  <c r="M109" i="6"/>
  <c r="L109" i="6"/>
  <c r="K109" i="6"/>
  <c r="M108" i="6"/>
  <c r="L108" i="6"/>
  <c r="K108" i="6"/>
  <c r="M107" i="6"/>
  <c r="L107" i="6"/>
  <c r="K107" i="6"/>
  <c r="M106" i="6"/>
  <c r="L106" i="6"/>
  <c r="K106" i="6"/>
  <c r="M105" i="6"/>
  <c r="L105" i="6"/>
  <c r="K105" i="6"/>
  <c r="M104" i="6"/>
  <c r="L104" i="6"/>
  <c r="K104" i="6"/>
  <c r="M103" i="6"/>
  <c r="L103" i="6"/>
  <c r="K103" i="6"/>
  <c r="M102" i="6"/>
  <c r="L102" i="6"/>
  <c r="K102" i="6"/>
  <c r="M101" i="6"/>
  <c r="L101" i="6"/>
  <c r="K101" i="6"/>
  <c r="M100" i="6"/>
  <c r="L100" i="6"/>
  <c r="K100" i="6"/>
  <c r="M99" i="6"/>
  <c r="L99" i="6"/>
  <c r="K99" i="6"/>
  <c r="M98" i="6"/>
  <c r="L98" i="6"/>
  <c r="K98" i="6"/>
  <c r="M97" i="6"/>
  <c r="L97" i="6"/>
  <c r="K97" i="6"/>
  <c r="M96" i="6"/>
  <c r="L96" i="6"/>
  <c r="K96" i="6"/>
  <c r="M95" i="6"/>
  <c r="L95" i="6"/>
  <c r="K95" i="6"/>
  <c r="M94" i="6"/>
  <c r="L94" i="6"/>
  <c r="K94" i="6"/>
  <c r="M93" i="6"/>
  <c r="L93" i="6"/>
  <c r="K93" i="6"/>
  <c r="M92" i="6"/>
  <c r="L92" i="6"/>
  <c r="K92" i="6"/>
  <c r="M91" i="6"/>
  <c r="L91" i="6"/>
  <c r="K91" i="6"/>
  <c r="M90" i="6"/>
  <c r="L90" i="6"/>
  <c r="K90" i="6"/>
  <c r="M89" i="6"/>
  <c r="L89" i="6"/>
  <c r="K89" i="6"/>
  <c r="M88" i="6"/>
  <c r="L88" i="6"/>
  <c r="K88" i="6"/>
  <c r="M87" i="6"/>
  <c r="L87" i="6"/>
  <c r="K87" i="6"/>
  <c r="M86" i="6"/>
  <c r="L86" i="6"/>
  <c r="K86" i="6"/>
  <c r="M85" i="6"/>
  <c r="L85" i="6"/>
  <c r="K85" i="6"/>
  <c r="M84" i="6"/>
  <c r="L84" i="6"/>
  <c r="K84" i="6"/>
  <c r="M83" i="6"/>
  <c r="L83" i="6"/>
  <c r="K83" i="6"/>
  <c r="M82" i="6"/>
  <c r="L82" i="6"/>
  <c r="K82" i="6"/>
  <c r="M81" i="6"/>
  <c r="L81" i="6"/>
  <c r="K81" i="6"/>
  <c r="M80" i="6"/>
  <c r="L80" i="6"/>
  <c r="K80" i="6"/>
  <c r="M79" i="6"/>
  <c r="L79" i="6"/>
  <c r="K79" i="6"/>
  <c r="M78" i="6"/>
  <c r="L78" i="6"/>
  <c r="K78" i="6"/>
  <c r="M77" i="6"/>
  <c r="L77" i="6"/>
  <c r="K77" i="6"/>
  <c r="M76" i="6"/>
  <c r="L76" i="6"/>
  <c r="K76" i="6"/>
  <c r="M75" i="6"/>
  <c r="L75" i="6"/>
  <c r="K75" i="6"/>
  <c r="M74" i="6"/>
  <c r="L74" i="6"/>
  <c r="K74" i="6"/>
  <c r="M73" i="6"/>
  <c r="L73" i="6"/>
  <c r="K73" i="6"/>
  <c r="M72" i="6"/>
  <c r="L72" i="6"/>
  <c r="K72" i="6"/>
  <c r="M71" i="6"/>
  <c r="L71" i="6"/>
  <c r="K71" i="6"/>
  <c r="M70" i="6"/>
  <c r="L70" i="6"/>
  <c r="K70" i="6"/>
  <c r="M69" i="6"/>
  <c r="L69" i="6"/>
  <c r="K69" i="6"/>
  <c r="M68" i="6"/>
  <c r="L68" i="6"/>
  <c r="K68" i="6"/>
  <c r="M67" i="6"/>
  <c r="L67" i="6"/>
  <c r="K67" i="6"/>
  <c r="M66" i="6"/>
  <c r="L66" i="6"/>
  <c r="K66" i="6"/>
  <c r="M65" i="6"/>
  <c r="L65" i="6"/>
  <c r="K65" i="6"/>
  <c r="M64" i="6"/>
  <c r="L64" i="6"/>
  <c r="K64" i="6"/>
  <c r="M63" i="6"/>
  <c r="L63" i="6"/>
  <c r="K63" i="6"/>
  <c r="L62" i="6"/>
  <c r="K62" i="6"/>
  <c r="M62" i="6" s="1"/>
  <c r="L61" i="6"/>
  <c r="K61" i="6"/>
  <c r="M61" i="6" s="1"/>
  <c r="L60" i="6"/>
  <c r="K60" i="6"/>
  <c r="M60" i="6" s="1"/>
  <c r="L59" i="6"/>
  <c r="K59" i="6"/>
  <c r="M59" i="6" s="1"/>
  <c r="L58" i="6"/>
  <c r="K58" i="6"/>
  <c r="M58" i="6" s="1"/>
  <c r="L57" i="6"/>
  <c r="K57" i="6"/>
  <c r="M57" i="6" s="1"/>
  <c r="L56" i="6"/>
  <c r="K56" i="6"/>
  <c r="M56" i="6" s="1"/>
  <c r="L55" i="6"/>
  <c r="K55" i="6"/>
  <c r="M55" i="6" s="1"/>
  <c r="L54" i="6"/>
  <c r="K54" i="6"/>
  <c r="M54" i="6" s="1"/>
  <c r="L53" i="6"/>
  <c r="K53" i="6"/>
  <c r="M53" i="6" s="1"/>
  <c r="L52" i="6"/>
  <c r="K52" i="6"/>
  <c r="M52" i="6" s="1"/>
  <c r="L51" i="6"/>
  <c r="K51" i="6"/>
  <c r="M51" i="6" s="1"/>
  <c r="L50" i="6"/>
  <c r="K50" i="6"/>
  <c r="M50" i="6" s="1"/>
  <c r="L49" i="6"/>
  <c r="K49" i="6"/>
  <c r="M49" i="6" s="1"/>
  <c r="L48" i="6"/>
  <c r="K48" i="6"/>
  <c r="M48" i="6" s="1"/>
  <c r="L47" i="6"/>
  <c r="K47" i="6"/>
  <c r="L46" i="6"/>
  <c r="K46" i="6"/>
  <c r="L45" i="6"/>
  <c r="K45" i="6"/>
  <c r="L44" i="6"/>
  <c r="K44" i="6"/>
  <c r="L43" i="6"/>
  <c r="K43" i="6"/>
  <c r="L42" i="6"/>
  <c r="K42" i="6"/>
  <c r="L41" i="6"/>
  <c r="K41" i="6"/>
  <c r="L40" i="6"/>
  <c r="K40" i="6"/>
  <c r="L39" i="6"/>
  <c r="K39" i="6"/>
  <c r="L38" i="6"/>
  <c r="K38" i="6"/>
  <c r="L37" i="6"/>
  <c r="K37" i="6"/>
  <c r="L36" i="6"/>
  <c r="K36" i="6"/>
  <c r="L35" i="6"/>
  <c r="K35" i="6"/>
  <c r="L34" i="6"/>
  <c r="K34" i="6"/>
  <c r="L33" i="6"/>
  <c r="K33" i="6"/>
  <c r="L32" i="6"/>
  <c r="K32" i="6"/>
  <c r="L31" i="6"/>
  <c r="K31" i="6"/>
  <c r="L30" i="6"/>
  <c r="K30" i="6"/>
  <c r="L29" i="6"/>
  <c r="K29" i="6"/>
  <c r="L28" i="6"/>
  <c r="K28" i="6"/>
  <c r="L27" i="6"/>
  <c r="K27" i="6"/>
  <c r="L26" i="6"/>
  <c r="K26" i="6"/>
  <c r="L25" i="6"/>
  <c r="K25" i="6"/>
  <c r="L24" i="6"/>
  <c r="K24" i="6"/>
  <c r="L23" i="6"/>
  <c r="K23" i="6"/>
  <c r="L22" i="6"/>
  <c r="K22" i="6"/>
  <c r="L21" i="6"/>
  <c r="K21" i="6"/>
  <c r="L20" i="6"/>
  <c r="K20" i="6"/>
  <c r="L19" i="6"/>
  <c r="K19" i="6"/>
  <c r="L18" i="6"/>
  <c r="K18" i="6"/>
  <c r="L17" i="6"/>
  <c r="K17" i="6"/>
  <c r="M17" i="6" s="1"/>
  <c r="L16" i="6"/>
  <c r="K16" i="6"/>
  <c r="L15" i="6"/>
  <c r="K15" i="6"/>
  <c r="L14" i="6"/>
  <c r="K14" i="6"/>
  <c r="L13" i="6"/>
  <c r="K13" i="6"/>
  <c r="L12" i="6"/>
  <c r="K12" i="6"/>
  <c r="L11" i="6"/>
  <c r="K11" i="6"/>
  <c r="L10" i="6"/>
  <c r="K10" i="6"/>
  <c r="M10" i="6" s="1"/>
  <c r="L9" i="6"/>
  <c r="K9" i="6"/>
  <c r="L8" i="6"/>
  <c r="D7" i="2" s="1"/>
  <c r="K8" i="6"/>
  <c r="L7" i="6"/>
  <c r="K7" i="6"/>
  <c r="M7" i="6" s="1"/>
  <c r="L6" i="6"/>
  <c r="K6" i="6"/>
  <c r="L5" i="6"/>
  <c r="K5" i="6"/>
  <c r="M5" i="6" s="1"/>
  <c r="E11" i="5"/>
  <c r="B11" i="5"/>
  <c r="F11" i="5" s="1"/>
  <c r="E10" i="5"/>
  <c r="B10" i="5"/>
  <c r="E9" i="5"/>
  <c r="B9" i="5"/>
  <c r="F9" i="5" s="1"/>
  <c r="L6" i="5"/>
  <c r="L8" i="5" s="1"/>
  <c r="E4" i="5"/>
  <c r="B4" i="5"/>
  <c r="G75" i="4"/>
  <c r="H73" i="4"/>
  <c r="G73" i="4"/>
  <c r="H72" i="4"/>
  <c r="G72" i="4"/>
  <c r="H66" i="4"/>
  <c r="G66" i="4"/>
  <c r="I66" i="4" s="1"/>
  <c r="H65" i="4"/>
  <c r="G65" i="4"/>
  <c r="I65" i="4" s="1"/>
  <c r="G64" i="4"/>
  <c r="I63" i="4"/>
  <c r="I62" i="4"/>
  <c r="H61" i="4"/>
  <c r="G61" i="4"/>
  <c r="I61" i="4" s="1"/>
  <c r="I60" i="4"/>
  <c r="H59" i="4"/>
  <c r="G59" i="4"/>
  <c r="I59" i="4" s="1"/>
  <c r="G58" i="4"/>
  <c r="I58" i="4" s="1"/>
  <c r="H52" i="4"/>
  <c r="G52" i="4"/>
  <c r="I52" i="4" s="1"/>
  <c r="H51" i="4"/>
  <c r="G51" i="4"/>
  <c r="I51" i="4" s="1"/>
  <c r="G50" i="4"/>
  <c r="I49" i="4"/>
  <c r="I48" i="4"/>
  <c r="H47" i="4"/>
  <c r="G47" i="4"/>
  <c r="I47" i="4" s="1"/>
  <c r="I46" i="4"/>
  <c r="H45" i="4"/>
  <c r="G45" i="4"/>
  <c r="I45" i="4" s="1"/>
  <c r="G44" i="4"/>
  <c r="I44" i="4" s="1"/>
  <c r="H38" i="4"/>
  <c r="G38" i="4"/>
  <c r="I38" i="4" s="1"/>
  <c r="H37" i="4"/>
  <c r="G37" i="4"/>
  <c r="I37" i="4" s="1"/>
  <c r="G36" i="4"/>
  <c r="I35" i="4"/>
  <c r="I34" i="4"/>
  <c r="H33" i="4"/>
  <c r="G33" i="4"/>
  <c r="I33" i="4" s="1"/>
  <c r="I32" i="4"/>
  <c r="H31" i="4"/>
  <c r="G31" i="4"/>
  <c r="I31" i="4" s="1"/>
  <c r="G30" i="4"/>
  <c r="I30" i="4" s="1"/>
  <c r="H24" i="4"/>
  <c r="G24" i="4"/>
  <c r="I24" i="4" s="1"/>
  <c r="H23" i="4"/>
  <c r="G23" i="4"/>
  <c r="I23" i="4" s="1"/>
  <c r="G22" i="4"/>
  <c r="I21" i="4"/>
  <c r="I20" i="4"/>
  <c r="H19" i="4"/>
  <c r="G19" i="4"/>
  <c r="I19" i="4" s="1"/>
  <c r="I18" i="4"/>
  <c r="H17" i="4"/>
  <c r="G17" i="4"/>
  <c r="I17" i="4" s="1"/>
  <c r="G16" i="4"/>
  <c r="I16" i="4" s="1"/>
  <c r="I9" i="4"/>
  <c r="I8" i="4"/>
  <c r="I7" i="4"/>
  <c r="I6" i="4"/>
  <c r="S8" i="3"/>
  <c r="R8" i="3"/>
  <c r="O8" i="3"/>
  <c r="P8" i="3" s="1"/>
  <c r="S7" i="3"/>
  <c r="R7" i="3"/>
  <c r="P7" i="3"/>
  <c r="O7" i="3"/>
  <c r="H7" i="3"/>
  <c r="G7" i="3"/>
  <c r="I7" i="3" s="1"/>
  <c r="S6" i="3"/>
  <c r="R6" i="3"/>
  <c r="P6" i="3"/>
  <c r="O6" i="3"/>
  <c r="H6" i="3"/>
  <c r="G6" i="3"/>
  <c r="S5" i="3"/>
  <c r="R5" i="3"/>
  <c r="O5" i="3"/>
  <c r="P5" i="3" s="1"/>
  <c r="H5" i="3"/>
  <c r="G5" i="3"/>
  <c r="I5" i="3" s="1"/>
  <c r="AA26" i="2"/>
  <c r="Z26" i="2"/>
  <c r="Y26" i="2"/>
  <c r="X26" i="2"/>
  <c r="W26" i="2"/>
  <c r="V26" i="2"/>
  <c r="U26" i="2"/>
  <c r="S26" i="2"/>
  <c r="R26" i="2"/>
  <c r="Q26" i="2"/>
  <c r="P26" i="2"/>
  <c r="O26" i="2"/>
  <c r="N26" i="2"/>
  <c r="M26" i="2"/>
  <c r="AA25" i="2"/>
  <c r="Z25" i="2"/>
  <c r="Y25" i="2"/>
  <c r="X25" i="2"/>
  <c r="W25" i="2"/>
  <c r="V25" i="2"/>
  <c r="U25" i="2"/>
  <c r="S25" i="2"/>
  <c r="R25" i="2"/>
  <c r="Q25" i="2"/>
  <c r="P25" i="2"/>
  <c r="O25" i="2"/>
  <c r="N25" i="2"/>
  <c r="M25" i="2"/>
  <c r="AA24" i="2"/>
  <c r="Z24" i="2"/>
  <c r="Y24" i="2"/>
  <c r="X24" i="2"/>
  <c r="W24" i="2"/>
  <c r="V24" i="2"/>
  <c r="U24" i="2"/>
  <c r="S24" i="2"/>
  <c r="R24" i="2"/>
  <c r="Q24" i="2"/>
  <c r="P24" i="2"/>
  <c r="O24" i="2"/>
  <c r="N24" i="2"/>
  <c r="M24" i="2"/>
  <c r="AA23" i="2"/>
  <c r="Z23" i="2"/>
  <c r="Y23" i="2"/>
  <c r="X23" i="2"/>
  <c r="W23" i="2"/>
  <c r="V23" i="2"/>
  <c r="U23" i="2"/>
  <c r="S23" i="2"/>
  <c r="R23" i="2"/>
  <c r="Q23" i="2"/>
  <c r="P23" i="2"/>
  <c r="O23" i="2"/>
  <c r="N23" i="2"/>
  <c r="M23" i="2"/>
  <c r="AA22" i="2"/>
  <c r="Z22" i="2"/>
  <c r="Y22" i="2"/>
  <c r="X22" i="2"/>
  <c r="W22" i="2"/>
  <c r="V22" i="2"/>
  <c r="U22" i="2"/>
  <c r="S22" i="2"/>
  <c r="R22" i="2"/>
  <c r="H6" i="2"/>
  <c r="AC5" i="2"/>
  <c r="D5" i="2"/>
  <c r="AI205" i="10"/>
  <c r="AH205" i="10"/>
  <c r="AG205" i="10"/>
  <c r="AB205" i="10"/>
  <c r="AA205" i="10"/>
  <c r="U205" i="10"/>
  <c r="AI204" i="10"/>
  <c r="AH204" i="10"/>
  <c r="AG204" i="10"/>
  <c r="AB204" i="10"/>
  <c r="AA204" i="10"/>
  <c r="U204" i="10"/>
  <c r="AI203" i="10"/>
  <c r="AH203" i="10"/>
  <c r="AG203" i="10"/>
  <c r="AB203" i="10"/>
  <c r="AA203" i="10"/>
  <c r="U203" i="10"/>
  <c r="AI202" i="10"/>
  <c r="AH202" i="10"/>
  <c r="AG202" i="10"/>
  <c r="AB202" i="10"/>
  <c r="AA202" i="10"/>
  <c r="U202" i="10"/>
  <c r="AI201" i="10"/>
  <c r="AH201" i="10"/>
  <c r="AG201" i="10"/>
  <c r="AB201" i="10"/>
  <c r="AA201" i="10"/>
  <c r="U201" i="10"/>
  <c r="AI200" i="10"/>
  <c r="AH200" i="10"/>
  <c r="AG200" i="10"/>
  <c r="AB200" i="10"/>
  <c r="AA200" i="10"/>
  <c r="U200" i="10"/>
  <c r="AI199" i="10"/>
  <c r="AH199" i="10"/>
  <c r="AG199" i="10"/>
  <c r="AB199" i="10"/>
  <c r="AA199" i="10"/>
  <c r="U199" i="10"/>
  <c r="AI198" i="10"/>
  <c r="AH198" i="10"/>
  <c r="AG198" i="10"/>
  <c r="AB198" i="10"/>
  <c r="AA198" i="10"/>
  <c r="U198" i="10"/>
  <c r="AI197" i="10"/>
  <c r="AH197" i="10"/>
  <c r="AG197" i="10"/>
  <c r="AB197" i="10"/>
  <c r="AA197" i="10"/>
  <c r="U197" i="10"/>
  <c r="AI196" i="10"/>
  <c r="AH196" i="10"/>
  <c r="AG196" i="10"/>
  <c r="AB196" i="10"/>
  <c r="AA196" i="10"/>
  <c r="U196" i="10"/>
  <c r="AI195" i="10"/>
  <c r="AH195" i="10"/>
  <c r="AG195" i="10"/>
  <c r="AB195" i="10"/>
  <c r="AA195" i="10"/>
  <c r="U195" i="10"/>
  <c r="AI194" i="10"/>
  <c r="AH194" i="10"/>
  <c r="AG194" i="10"/>
  <c r="AB194" i="10"/>
  <c r="AA194" i="10"/>
  <c r="U194" i="10"/>
  <c r="AI193" i="10"/>
  <c r="AH193" i="10"/>
  <c r="AG193" i="10"/>
  <c r="AB193" i="10"/>
  <c r="AA193" i="10"/>
  <c r="U193" i="10"/>
  <c r="AI192" i="10"/>
  <c r="AH192" i="10"/>
  <c r="AG192" i="10"/>
  <c r="AB192" i="10"/>
  <c r="AA192" i="10"/>
  <c r="U192" i="10"/>
  <c r="AI191" i="10"/>
  <c r="AH191" i="10"/>
  <c r="AG191" i="10"/>
  <c r="AB191" i="10"/>
  <c r="AA191" i="10"/>
  <c r="U191" i="10"/>
  <c r="AI190" i="10"/>
  <c r="AH190" i="10"/>
  <c r="AG190" i="10"/>
  <c r="AB190" i="10"/>
  <c r="AA190" i="10"/>
  <c r="U190" i="10"/>
  <c r="AI189" i="10"/>
  <c r="AH189" i="10"/>
  <c r="AG189" i="10"/>
  <c r="AB189" i="10"/>
  <c r="AA189" i="10"/>
  <c r="U189" i="10"/>
  <c r="AI188" i="10"/>
  <c r="AH188" i="10"/>
  <c r="AG188" i="10"/>
  <c r="AB188" i="10"/>
  <c r="AA188" i="10"/>
  <c r="U188" i="10"/>
  <c r="AI187" i="10"/>
  <c r="AH187" i="10"/>
  <c r="AG187" i="10"/>
  <c r="AB187" i="10"/>
  <c r="AA187" i="10"/>
  <c r="U187" i="10"/>
  <c r="AI186" i="10"/>
  <c r="AH186" i="10"/>
  <c r="AG186" i="10"/>
  <c r="AB186" i="10"/>
  <c r="AA186" i="10"/>
  <c r="U186" i="10"/>
  <c r="AI185" i="10"/>
  <c r="AH185" i="10"/>
  <c r="AG185" i="10"/>
  <c r="AB185" i="10"/>
  <c r="AA185" i="10"/>
  <c r="U185" i="10"/>
  <c r="AI184" i="10"/>
  <c r="AH184" i="10"/>
  <c r="AG184" i="10"/>
  <c r="AB184" i="10"/>
  <c r="AA184" i="10"/>
  <c r="U184" i="10"/>
  <c r="AI183" i="10"/>
  <c r="AH183" i="10"/>
  <c r="AG183" i="10"/>
  <c r="AB183" i="10"/>
  <c r="AA183" i="10"/>
  <c r="U183" i="10"/>
  <c r="AI182" i="10"/>
  <c r="AH182" i="10"/>
  <c r="AG182" i="10"/>
  <c r="AB182" i="10"/>
  <c r="AA182" i="10"/>
  <c r="U182" i="10"/>
  <c r="AI181" i="10"/>
  <c r="AH181" i="10"/>
  <c r="AG181" i="10"/>
  <c r="AB181" i="10"/>
  <c r="AA181" i="10"/>
  <c r="U181" i="10"/>
  <c r="AI180" i="10"/>
  <c r="AH180" i="10"/>
  <c r="AG180" i="10"/>
  <c r="AB180" i="10"/>
  <c r="AA180" i="10"/>
  <c r="U180" i="10"/>
  <c r="AI179" i="10"/>
  <c r="AH179" i="10"/>
  <c r="AG179" i="10"/>
  <c r="AB179" i="10"/>
  <c r="AA179" i="10"/>
  <c r="U179" i="10"/>
  <c r="AI178" i="10"/>
  <c r="AH178" i="10"/>
  <c r="AG178" i="10"/>
  <c r="AB178" i="10"/>
  <c r="AA178" i="10"/>
  <c r="U178" i="10"/>
  <c r="AI177" i="10"/>
  <c r="AH177" i="10"/>
  <c r="AG177" i="10"/>
  <c r="AB177" i="10"/>
  <c r="AA177" i="10"/>
  <c r="U177" i="10"/>
  <c r="AI176" i="10"/>
  <c r="AH176" i="10"/>
  <c r="AG176" i="10"/>
  <c r="AB176" i="10"/>
  <c r="AA176" i="10"/>
  <c r="U176" i="10"/>
  <c r="AI175" i="10"/>
  <c r="AH175" i="10"/>
  <c r="AG175" i="10"/>
  <c r="AB175" i="10"/>
  <c r="AA175" i="10"/>
  <c r="U175" i="10"/>
  <c r="AI174" i="10"/>
  <c r="AH174" i="10"/>
  <c r="AG174" i="10"/>
  <c r="AB174" i="10"/>
  <c r="AA174" i="10"/>
  <c r="U174" i="10"/>
  <c r="AI173" i="10"/>
  <c r="AH173" i="10"/>
  <c r="AG173" i="10"/>
  <c r="AB173" i="10"/>
  <c r="AA173" i="10"/>
  <c r="U173" i="10"/>
  <c r="AI172" i="10"/>
  <c r="AH172" i="10"/>
  <c r="AG172" i="10"/>
  <c r="AB172" i="10"/>
  <c r="AA172" i="10"/>
  <c r="U172" i="10"/>
  <c r="AI171" i="10"/>
  <c r="AH171" i="10"/>
  <c r="AG171" i="10"/>
  <c r="AB171" i="10"/>
  <c r="AA171" i="10"/>
  <c r="U171" i="10"/>
  <c r="AI170" i="10"/>
  <c r="AH170" i="10"/>
  <c r="AG170" i="10"/>
  <c r="AB170" i="10"/>
  <c r="AA170" i="10"/>
  <c r="U170" i="10"/>
  <c r="AI169" i="10"/>
  <c r="AH169" i="10"/>
  <c r="AG169" i="10"/>
  <c r="AB169" i="10"/>
  <c r="AA169" i="10"/>
  <c r="U169" i="10"/>
  <c r="AI168" i="10"/>
  <c r="AH168" i="10"/>
  <c r="AG168" i="10"/>
  <c r="AB168" i="10"/>
  <c r="AA168" i="10"/>
  <c r="U168" i="10"/>
  <c r="AI167" i="10"/>
  <c r="AH167" i="10"/>
  <c r="AG167" i="10"/>
  <c r="AB167" i="10"/>
  <c r="AA167" i="10"/>
  <c r="U167" i="10"/>
  <c r="AI166" i="10"/>
  <c r="AH166" i="10"/>
  <c r="AG166" i="10"/>
  <c r="AB166" i="10"/>
  <c r="AA166" i="10"/>
  <c r="U166" i="10"/>
  <c r="AI165" i="10"/>
  <c r="AH165" i="10"/>
  <c r="AG165" i="10"/>
  <c r="AB165" i="10"/>
  <c r="AA165" i="10"/>
  <c r="U165" i="10"/>
  <c r="AI164" i="10"/>
  <c r="AH164" i="10"/>
  <c r="AG164" i="10"/>
  <c r="AB164" i="10"/>
  <c r="AA164" i="10"/>
  <c r="U164" i="10"/>
  <c r="AI163" i="10"/>
  <c r="AH163" i="10"/>
  <c r="AG163" i="10"/>
  <c r="AB163" i="10"/>
  <c r="AA163" i="10"/>
  <c r="U163" i="10"/>
  <c r="AI162" i="10"/>
  <c r="AH162" i="10"/>
  <c r="AG162" i="10"/>
  <c r="AB162" i="10"/>
  <c r="AA162" i="10"/>
  <c r="U162" i="10"/>
  <c r="AI161" i="10"/>
  <c r="AH161" i="10"/>
  <c r="AG161" i="10"/>
  <c r="AB161" i="10"/>
  <c r="AA161" i="10"/>
  <c r="U161" i="10"/>
  <c r="AI160" i="10"/>
  <c r="AH160" i="10"/>
  <c r="AG160" i="10"/>
  <c r="AB160" i="10"/>
  <c r="AA160" i="10"/>
  <c r="U160" i="10"/>
  <c r="AI159" i="10"/>
  <c r="AH159" i="10"/>
  <c r="AG159" i="10"/>
  <c r="AB159" i="10"/>
  <c r="AA159" i="10"/>
  <c r="U159" i="10"/>
  <c r="AI158" i="10"/>
  <c r="AH158" i="10"/>
  <c r="AG158" i="10"/>
  <c r="AB158" i="10"/>
  <c r="AA158" i="10"/>
  <c r="U158" i="10"/>
  <c r="AI157" i="10"/>
  <c r="AH157" i="10"/>
  <c r="AG157" i="10"/>
  <c r="AB157" i="10"/>
  <c r="AA157" i="10"/>
  <c r="U157" i="10"/>
  <c r="AI156" i="10"/>
  <c r="AH156" i="10"/>
  <c r="AG156" i="10"/>
  <c r="AB156" i="10"/>
  <c r="AA156" i="10"/>
  <c r="U156" i="10"/>
  <c r="AI155" i="10"/>
  <c r="AH155" i="10"/>
  <c r="AG155" i="10"/>
  <c r="AB155" i="10"/>
  <c r="AA155" i="10"/>
  <c r="U155" i="10"/>
  <c r="AI154" i="10"/>
  <c r="AH154" i="10"/>
  <c r="AG154" i="10"/>
  <c r="AB154" i="10"/>
  <c r="AA154" i="10"/>
  <c r="U154" i="10"/>
  <c r="AI153" i="10"/>
  <c r="AH153" i="10"/>
  <c r="AG153" i="10"/>
  <c r="AB153" i="10"/>
  <c r="AA153" i="10"/>
  <c r="U153" i="10"/>
  <c r="AI152" i="10"/>
  <c r="AH152" i="10"/>
  <c r="AG152" i="10"/>
  <c r="AB152" i="10"/>
  <c r="AA152" i="10"/>
  <c r="U152" i="10"/>
  <c r="AI151" i="10"/>
  <c r="AH151" i="10"/>
  <c r="AG151" i="10"/>
  <c r="AB151" i="10"/>
  <c r="AA151" i="10"/>
  <c r="U151" i="10"/>
  <c r="AI150" i="10"/>
  <c r="AH150" i="10"/>
  <c r="AG150" i="10"/>
  <c r="AB150" i="10"/>
  <c r="AA150" i="10"/>
  <c r="U150" i="10"/>
  <c r="AI149" i="10"/>
  <c r="AH149" i="10"/>
  <c r="AG149" i="10"/>
  <c r="AB149" i="10"/>
  <c r="AA149" i="10"/>
  <c r="U149" i="10"/>
  <c r="AI148" i="10"/>
  <c r="AH148" i="10"/>
  <c r="AG148" i="10"/>
  <c r="AB148" i="10"/>
  <c r="AA148" i="10"/>
  <c r="U148" i="10"/>
  <c r="AI147" i="10"/>
  <c r="AH147" i="10"/>
  <c r="AG147" i="10"/>
  <c r="AB147" i="10"/>
  <c r="AA147" i="10"/>
  <c r="U147" i="10"/>
  <c r="AI146" i="10"/>
  <c r="AH146" i="10"/>
  <c r="AG146" i="10"/>
  <c r="AB146" i="10"/>
  <c r="AA146" i="10"/>
  <c r="U146" i="10"/>
  <c r="AI145" i="10"/>
  <c r="AH145" i="10"/>
  <c r="AG145" i="10"/>
  <c r="AB145" i="10"/>
  <c r="AA145" i="10"/>
  <c r="U145" i="10"/>
  <c r="AI144" i="10"/>
  <c r="AH144" i="10"/>
  <c r="AG144" i="10"/>
  <c r="AB144" i="10"/>
  <c r="AA144" i="10"/>
  <c r="U144" i="10"/>
  <c r="AI143" i="10"/>
  <c r="AH143" i="10"/>
  <c r="AG143" i="10"/>
  <c r="AB143" i="10"/>
  <c r="AA143" i="10"/>
  <c r="U143" i="10"/>
  <c r="AI142" i="10"/>
  <c r="AH142" i="10"/>
  <c r="AG142" i="10"/>
  <c r="AB142" i="10"/>
  <c r="AA142" i="10"/>
  <c r="U142" i="10"/>
  <c r="AI141" i="10"/>
  <c r="AH141" i="10"/>
  <c r="AG141" i="10"/>
  <c r="AB141" i="10"/>
  <c r="AA141" i="10"/>
  <c r="U141" i="10"/>
  <c r="AI140" i="10"/>
  <c r="AH140" i="10"/>
  <c r="AG140" i="10"/>
  <c r="AB140" i="10"/>
  <c r="AA140" i="10"/>
  <c r="U140" i="10"/>
  <c r="AI139" i="10"/>
  <c r="AH139" i="10"/>
  <c r="AG139" i="10"/>
  <c r="AB139" i="10"/>
  <c r="AA139" i="10"/>
  <c r="U139" i="10"/>
  <c r="AI138" i="10"/>
  <c r="AH138" i="10"/>
  <c r="AG138" i="10"/>
  <c r="AB138" i="10"/>
  <c r="AA138" i="10"/>
  <c r="U138" i="10"/>
  <c r="AI137" i="10"/>
  <c r="AH137" i="10"/>
  <c r="AG137" i="10"/>
  <c r="AB137" i="10"/>
  <c r="AA137" i="10"/>
  <c r="U137" i="10"/>
  <c r="AI136" i="10"/>
  <c r="AH136" i="10"/>
  <c r="AG136" i="10"/>
  <c r="AB136" i="10"/>
  <c r="AA136" i="10"/>
  <c r="U136" i="10"/>
  <c r="AI135" i="10"/>
  <c r="AH135" i="10"/>
  <c r="AG135" i="10"/>
  <c r="AB135" i="10"/>
  <c r="AA135" i="10"/>
  <c r="U135" i="10"/>
  <c r="AI134" i="10"/>
  <c r="AH134" i="10"/>
  <c r="AG134" i="10"/>
  <c r="AB134" i="10"/>
  <c r="AA134" i="10"/>
  <c r="U134" i="10"/>
  <c r="AI133" i="10"/>
  <c r="AH133" i="10"/>
  <c r="AG133" i="10"/>
  <c r="AB133" i="10"/>
  <c r="AA133" i="10"/>
  <c r="U133" i="10"/>
  <c r="AI132" i="10"/>
  <c r="AH132" i="10"/>
  <c r="AG132" i="10"/>
  <c r="AB132" i="10"/>
  <c r="AA132" i="10"/>
  <c r="U132" i="10"/>
  <c r="AI131" i="10"/>
  <c r="AH131" i="10"/>
  <c r="AG131" i="10"/>
  <c r="AB131" i="10"/>
  <c r="AA131" i="10"/>
  <c r="U131" i="10"/>
  <c r="AI130" i="10"/>
  <c r="AH130" i="10"/>
  <c r="AG130" i="10"/>
  <c r="AB130" i="10"/>
  <c r="AA130" i="10"/>
  <c r="U130" i="10"/>
  <c r="AI129" i="10"/>
  <c r="AH129" i="10"/>
  <c r="AG129" i="10"/>
  <c r="AB129" i="10"/>
  <c r="AA129" i="10"/>
  <c r="U129" i="10"/>
  <c r="AI128" i="10"/>
  <c r="AH128" i="10"/>
  <c r="AG128" i="10"/>
  <c r="AB128" i="10"/>
  <c r="AA128" i="10"/>
  <c r="U128" i="10"/>
  <c r="AI127" i="10"/>
  <c r="AH127" i="10"/>
  <c r="AG127" i="10"/>
  <c r="AB127" i="10"/>
  <c r="AA127" i="10"/>
  <c r="U127" i="10"/>
  <c r="AI126" i="10"/>
  <c r="AH126" i="10"/>
  <c r="AG126" i="10"/>
  <c r="AB126" i="10"/>
  <c r="AA126" i="10"/>
  <c r="U126" i="10"/>
  <c r="AI125" i="10"/>
  <c r="AH125" i="10"/>
  <c r="AG125" i="10"/>
  <c r="AB125" i="10"/>
  <c r="AA125" i="10"/>
  <c r="U125" i="10"/>
  <c r="AI124" i="10"/>
  <c r="AH124" i="10"/>
  <c r="AG124" i="10"/>
  <c r="AB124" i="10"/>
  <c r="AA124" i="10"/>
  <c r="U124" i="10"/>
  <c r="AI123" i="10"/>
  <c r="AH123" i="10"/>
  <c r="AG123" i="10"/>
  <c r="AB123" i="10"/>
  <c r="AA123" i="10"/>
  <c r="U123" i="10"/>
  <c r="AI122" i="10"/>
  <c r="AH122" i="10"/>
  <c r="AG122" i="10"/>
  <c r="AB122" i="10"/>
  <c r="AA122" i="10"/>
  <c r="U122" i="10"/>
  <c r="AI121" i="10"/>
  <c r="AH121" i="10"/>
  <c r="AG121" i="10"/>
  <c r="AB121" i="10"/>
  <c r="AA121" i="10"/>
  <c r="U121" i="10"/>
  <c r="AI120" i="10"/>
  <c r="AH120" i="10"/>
  <c r="AG120" i="10"/>
  <c r="AB120" i="10"/>
  <c r="AA120" i="10"/>
  <c r="U120" i="10"/>
  <c r="AI119" i="10"/>
  <c r="AH119" i="10"/>
  <c r="AG119" i="10"/>
  <c r="AB119" i="10"/>
  <c r="AA119" i="10"/>
  <c r="U119" i="10"/>
  <c r="AI118" i="10"/>
  <c r="AH118" i="10"/>
  <c r="AG118" i="10"/>
  <c r="AB118" i="10"/>
  <c r="AA118" i="10"/>
  <c r="U118" i="10"/>
  <c r="AI117" i="10"/>
  <c r="AH117" i="10"/>
  <c r="AG117" i="10"/>
  <c r="AB117" i="10"/>
  <c r="AA117" i="10"/>
  <c r="U117" i="10"/>
  <c r="AI116" i="10"/>
  <c r="AH116" i="10"/>
  <c r="AG116" i="10"/>
  <c r="AB116" i="10"/>
  <c r="AA116" i="10"/>
  <c r="U116" i="10"/>
  <c r="AI115" i="10"/>
  <c r="AH115" i="10"/>
  <c r="AG115" i="10"/>
  <c r="AB115" i="10"/>
  <c r="AA115" i="10"/>
  <c r="U115" i="10"/>
  <c r="AI114" i="10"/>
  <c r="AH114" i="10"/>
  <c r="AG114" i="10"/>
  <c r="AB114" i="10"/>
  <c r="AA114" i="10"/>
  <c r="U114" i="10"/>
  <c r="AI113" i="10"/>
  <c r="AH113" i="10"/>
  <c r="AG113" i="10"/>
  <c r="AB113" i="10"/>
  <c r="AA113" i="10"/>
  <c r="U113" i="10"/>
  <c r="AI112" i="10"/>
  <c r="AH112" i="10"/>
  <c r="AG112" i="10"/>
  <c r="AB112" i="10"/>
  <c r="AA112" i="10"/>
  <c r="U112" i="10"/>
  <c r="AI111" i="10"/>
  <c r="AH111" i="10"/>
  <c r="AG111" i="10"/>
  <c r="AB111" i="10"/>
  <c r="AA111" i="10"/>
  <c r="U111" i="10"/>
  <c r="AI110" i="10"/>
  <c r="AH110" i="10"/>
  <c r="AG110" i="10"/>
  <c r="AB110" i="10"/>
  <c r="AA110" i="10"/>
  <c r="U110" i="10"/>
  <c r="AI109" i="10"/>
  <c r="AH109" i="10"/>
  <c r="AG109" i="10"/>
  <c r="AB109" i="10"/>
  <c r="AA109" i="10"/>
  <c r="U109" i="10"/>
  <c r="AI108" i="10"/>
  <c r="AH108" i="10"/>
  <c r="AG108" i="10"/>
  <c r="AB108" i="10"/>
  <c r="AA108" i="10"/>
  <c r="U108" i="10"/>
  <c r="AI107" i="10"/>
  <c r="AH107" i="10"/>
  <c r="AG107" i="10"/>
  <c r="AB107" i="10"/>
  <c r="AA107" i="10"/>
  <c r="U107" i="10"/>
  <c r="AI106" i="10"/>
  <c r="AH106" i="10"/>
  <c r="AG106" i="10"/>
  <c r="AB106" i="10"/>
  <c r="AA106" i="10"/>
  <c r="U106" i="10"/>
  <c r="AI105" i="10"/>
  <c r="AH105" i="10"/>
  <c r="AG105" i="10"/>
  <c r="AB105" i="10"/>
  <c r="AA105" i="10"/>
  <c r="U105" i="10"/>
  <c r="AI104" i="10"/>
  <c r="AH104" i="10"/>
  <c r="AG104" i="10"/>
  <c r="AB104" i="10"/>
  <c r="AA104" i="10"/>
  <c r="U104" i="10"/>
  <c r="AI103" i="10"/>
  <c r="AH103" i="10"/>
  <c r="AG103" i="10"/>
  <c r="AB103" i="10"/>
  <c r="AA103" i="10"/>
  <c r="U103" i="10"/>
  <c r="AI102" i="10"/>
  <c r="AH102" i="10"/>
  <c r="AG102" i="10"/>
  <c r="AB102" i="10"/>
  <c r="AA102" i="10"/>
  <c r="U102" i="10"/>
  <c r="AI101" i="10"/>
  <c r="AH101" i="10"/>
  <c r="AG101" i="10"/>
  <c r="AB101" i="10"/>
  <c r="AA101" i="10"/>
  <c r="U101" i="10"/>
  <c r="AI100" i="10"/>
  <c r="AH100" i="10"/>
  <c r="AG100" i="10"/>
  <c r="AB100" i="10"/>
  <c r="AA100" i="10"/>
  <c r="U100" i="10"/>
  <c r="AI99" i="10"/>
  <c r="AH99" i="10"/>
  <c r="AG99" i="10"/>
  <c r="AB99" i="10"/>
  <c r="AA99" i="10"/>
  <c r="U99" i="10"/>
  <c r="AI98" i="10"/>
  <c r="AH98" i="10"/>
  <c r="AG98" i="10"/>
  <c r="AB98" i="10"/>
  <c r="AA98" i="10"/>
  <c r="U98" i="10"/>
  <c r="AI97" i="10"/>
  <c r="AH97" i="10"/>
  <c r="AG97" i="10"/>
  <c r="AB97" i="10"/>
  <c r="AA97" i="10"/>
  <c r="U97" i="10"/>
  <c r="AI96" i="10"/>
  <c r="AH96" i="10"/>
  <c r="AG96" i="10"/>
  <c r="AB96" i="10"/>
  <c r="AA96" i="10"/>
  <c r="U96" i="10"/>
  <c r="AI95" i="10"/>
  <c r="AH95" i="10"/>
  <c r="AG95" i="10"/>
  <c r="AB95" i="10"/>
  <c r="AA95" i="10"/>
  <c r="U95" i="10"/>
  <c r="AI94" i="10"/>
  <c r="AH94" i="10"/>
  <c r="AG94" i="10"/>
  <c r="AB94" i="10"/>
  <c r="AA94" i="10"/>
  <c r="U94" i="10"/>
  <c r="AI93" i="10"/>
  <c r="AH93" i="10"/>
  <c r="AG93" i="10"/>
  <c r="AB93" i="10"/>
  <c r="AA93" i="10"/>
  <c r="U93" i="10"/>
  <c r="AI92" i="10"/>
  <c r="AH92" i="10"/>
  <c r="AG92" i="10"/>
  <c r="AB92" i="10"/>
  <c r="AA92" i="10"/>
  <c r="U92" i="10"/>
  <c r="AI91" i="10"/>
  <c r="AH91" i="10"/>
  <c r="AG91" i="10"/>
  <c r="AB91" i="10"/>
  <c r="AA91" i="10"/>
  <c r="U91" i="10"/>
  <c r="AI90" i="10"/>
  <c r="AH90" i="10"/>
  <c r="AG90" i="10"/>
  <c r="AB90" i="10"/>
  <c r="AA90" i="10"/>
  <c r="U90" i="10"/>
  <c r="AI89" i="10"/>
  <c r="AH89" i="10"/>
  <c r="AG89" i="10"/>
  <c r="AB89" i="10"/>
  <c r="AA89" i="10"/>
  <c r="U89" i="10"/>
  <c r="AI88" i="10"/>
  <c r="AH88" i="10"/>
  <c r="AG88" i="10"/>
  <c r="AB88" i="10"/>
  <c r="AA88" i="10"/>
  <c r="U88" i="10"/>
  <c r="AI87" i="10"/>
  <c r="AH87" i="10"/>
  <c r="AG87" i="10"/>
  <c r="AB87" i="10"/>
  <c r="AA87" i="10"/>
  <c r="U87" i="10"/>
  <c r="AI86" i="10"/>
  <c r="AH86" i="10"/>
  <c r="AG86" i="10"/>
  <c r="AB86" i="10"/>
  <c r="AA86" i="10"/>
  <c r="U86" i="10"/>
  <c r="AI85" i="10"/>
  <c r="AH85" i="10"/>
  <c r="AG85" i="10"/>
  <c r="AB85" i="10"/>
  <c r="AA85" i="10"/>
  <c r="U85" i="10"/>
  <c r="AI84" i="10"/>
  <c r="AH84" i="10"/>
  <c r="AG84" i="10"/>
  <c r="AB84" i="10"/>
  <c r="AA84" i="10"/>
  <c r="U84" i="10"/>
  <c r="AI83" i="10"/>
  <c r="AH83" i="10"/>
  <c r="AG83" i="10"/>
  <c r="AB83" i="10"/>
  <c r="AA83" i="10"/>
  <c r="U83" i="10"/>
  <c r="AI82" i="10"/>
  <c r="AH82" i="10"/>
  <c r="AG82" i="10"/>
  <c r="AB82" i="10"/>
  <c r="AA82" i="10"/>
  <c r="U82" i="10"/>
  <c r="AI81" i="10"/>
  <c r="AH81" i="10"/>
  <c r="AG81" i="10"/>
  <c r="AB81" i="10"/>
  <c r="AA81" i="10"/>
  <c r="U81" i="10"/>
  <c r="AI80" i="10"/>
  <c r="AH80" i="10"/>
  <c r="AG80" i="10"/>
  <c r="AB80" i="10"/>
  <c r="AA80" i="10"/>
  <c r="U80" i="10"/>
  <c r="AI79" i="10"/>
  <c r="AH79" i="10"/>
  <c r="AG79" i="10"/>
  <c r="AB79" i="10"/>
  <c r="AA79" i="10"/>
  <c r="U79" i="10"/>
  <c r="AI78" i="10"/>
  <c r="AH78" i="10"/>
  <c r="AG78" i="10"/>
  <c r="AB78" i="10"/>
  <c r="AA78" i="10"/>
  <c r="U78" i="10"/>
  <c r="AI77" i="10"/>
  <c r="AH77" i="10"/>
  <c r="AG77" i="10"/>
  <c r="AB77" i="10"/>
  <c r="AA77" i="10"/>
  <c r="U77" i="10"/>
  <c r="AI76" i="10"/>
  <c r="AH76" i="10"/>
  <c r="AG76" i="10"/>
  <c r="AB76" i="10"/>
  <c r="AA76" i="10"/>
  <c r="U76" i="10"/>
  <c r="AI75" i="10"/>
  <c r="AH75" i="10"/>
  <c r="AG75" i="10"/>
  <c r="AB75" i="10"/>
  <c r="AA75" i="10"/>
  <c r="U75" i="10"/>
  <c r="AI74" i="10"/>
  <c r="AH74" i="10"/>
  <c r="AG74" i="10"/>
  <c r="AB74" i="10"/>
  <c r="AA74" i="10"/>
  <c r="U74" i="10"/>
  <c r="AI73" i="10"/>
  <c r="AH73" i="10"/>
  <c r="AG73" i="10"/>
  <c r="AB73" i="10"/>
  <c r="AA73" i="10"/>
  <c r="U73" i="10"/>
  <c r="AI72" i="10"/>
  <c r="AH72" i="10"/>
  <c r="AG72" i="10"/>
  <c r="AB72" i="10"/>
  <c r="AA72" i="10"/>
  <c r="U72" i="10"/>
  <c r="AI71" i="10"/>
  <c r="AH71" i="10"/>
  <c r="AG71" i="10"/>
  <c r="AB71" i="10"/>
  <c r="AA71" i="10"/>
  <c r="U71" i="10"/>
  <c r="AI70" i="10"/>
  <c r="AH70" i="10"/>
  <c r="AG70" i="10"/>
  <c r="AB70" i="10"/>
  <c r="AA70" i="10"/>
  <c r="U70" i="10"/>
  <c r="AI69" i="10"/>
  <c r="AH69" i="10"/>
  <c r="AG69" i="10"/>
  <c r="AB69" i="10"/>
  <c r="AA69" i="10"/>
  <c r="U69" i="10"/>
  <c r="AI68" i="10"/>
  <c r="AH68" i="10"/>
  <c r="AG68" i="10"/>
  <c r="AB68" i="10"/>
  <c r="AA68" i="10"/>
  <c r="U68" i="10"/>
  <c r="AI67" i="10"/>
  <c r="AH67" i="10"/>
  <c r="AG67" i="10"/>
  <c r="AB67" i="10"/>
  <c r="AA67" i="10"/>
  <c r="U67" i="10"/>
  <c r="AI66" i="10"/>
  <c r="AH66" i="10"/>
  <c r="AG66" i="10"/>
  <c r="AB66" i="10"/>
  <c r="AA66" i="10"/>
  <c r="U66" i="10"/>
  <c r="AI65" i="10"/>
  <c r="AH65" i="10"/>
  <c r="AG65" i="10"/>
  <c r="AB65" i="10"/>
  <c r="AA65" i="10"/>
  <c r="U65" i="10"/>
  <c r="AI64" i="10"/>
  <c r="AH64" i="10"/>
  <c r="AG64" i="10"/>
  <c r="AB64" i="10"/>
  <c r="AA64" i="10"/>
  <c r="U64" i="10"/>
  <c r="AI63" i="10"/>
  <c r="AH63" i="10"/>
  <c r="AG63" i="10"/>
  <c r="AB63" i="10"/>
  <c r="AA63" i="10"/>
  <c r="U63" i="10"/>
  <c r="AI62" i="10"/>
  <c r="AH62" i="10"/>
  <c r="AG62" i="10"/>
  <c r="AB62" i="10"/>
  <c r="AA62" i="10"/>
  <c r="U62" i="10"/>
  <c r="AI61" i="10"/>
  <c r="AH61" i="10"/>
  <c r="AG61" i="10"/>
  <c r="AB61" i="10"/>
  <c r="AA61" i="10"/>
  <c r="U61" i="10"/>
  <c r="AI60" i="10"/>
  <c r="AH60" i="10"/>
  <c r="AG60" i="10"/>
  <c r="AB60" i="10"/>
  <c r="AA60" i="10"/>
  <c r="U60" i="10"/>
  <c r="AI59" i="10"/>
  <c r="AH59" i="10"/>
  <c r="AG59" i="10"/>
  <c r="AB59" i="10"/>
  <c r="AA59" i="10"/>
  <c r="U59" i="10"/>
  <c r="AI58" i="10"/>
  <c r="AH58" i="10"/>
  <c r="AG58" i="10"/>
  <c r="AB58" i="10"/>
  <c r="AA58" i="10"/>
  <c r="U58" i="10"/>
  <c r="AI57" i="10"/>
  <c r="AH57" i="10"/>
  <c r="AG57" i="10"/>
  <c r="AB57" i="10"/>
  <c r="AA57" i="10"/>
  <c r="U57" i="10"/>
  <c r="AI56" i="10"/>
  <c r="AH56" i="10"/>
  <c r="AG56" i="10"/>
  <c r="AB56" i="10"/>
  <c r="AA56" i="10"/>
  <c r="U56" i="10"/>
  <c r="AI55" i="10"/>
  <c r="AH55" i="10"/>
  <c r="AG55" i="10"/>
  <c r="AB55" i="10"/>
  <c r="AA55" i="10"/>
  <c r="U55" i="10"/>
  <c r="AI54" i="10"/>
  <c r="AH54" i="10"/>
  <c r="AG54" i="10"/>
  <c r="AB54" i="10"/>
  <c r="AA54" i="10"/>
  <c r="U54" i="10"/>
  <c r="AI53" i="10"/>
  <c r="AH53" i="10"/>
  <c r="AG53" i="10"/>
  <c r="AB53" i="10"/>
  <c r="AA53" i="10"/>
  <c r="U53" i="10"/>
  <c r="AI52" i="10"/>
  <c r="AH52" i="10"/>
  <c r="AG52" i="10"/>
  <c r="AB52" i="10"/>
  <c r="AA52" i="10"/>
  <c r="U52" i="10"/>
  <c r="AI51" i="10"/>
  <c r="AH51" i="10"/>
  <c r="AG51" i="10"/>
  <c r="AB51" i="10"/>
  <c r="AA51" i="10"/>
  <c r="U51" i="10"/>
  <c r="AI50" i="10"/>
  <c r="AH50" i="10"/>
  <c r="AG50" i="10"/>
  <c r="AB50" i="10"/>
  <c r="AA50" i="10"/>
  <c r="U50" i="10"/>
  <c r="AI49" i="10"/>
  <c r="AH49" i="10"/>
  <c r="AG49" i="10"/>
  <c r="AB49" i="10"/>
  <c r="AA49" i="10"/>
  <c r="U49" i="10"/>
  <c r="AI48" i="10"/>
  <c r="AH48" i="10"/>
  <c r="AG48" i="10"/>
  <c r="AB48" i="10"/>
  <c r="AA48" i="10"/>
  <c r="U48" i="10"/>
  <c r="AI47" i="10"/>
  <c r="AH47" i="10"/>
  <c r="AG47" i="10"/>
  <c r="AB47" i="10"/>
  <c r="AA47" i="10"/>
  <c r="U47" i="10"/>
  <c r="AI46" i="10"/>
  <c r="AH46" i="10"/>
  <c r="AG46" i="10"/>
  <c r="AB46" i="10"/>
  <c r="AA46" i="10"/>
  <c r="U46" i="10"/>
  <c r="AI45" i="10"/>
  <c r="AH45" i="10"/>
  <c r="AG45" i="10"/>
  <c r="AB45" i="10"/>
  <c r="AA45" i="10"/>
  <c r="U45" i="10"/>
  <c r="AI44" i="10"/>
  <c r="AH44" i="10"/>
  <c r="AG44" i="10"/>
  <c r="AB44" i="10"/>
  <c r="AA44" i="10"/>
  <c r="U44" i="10"/>
  <c r="AI43" i="10"/>
  <c r="AH43" i="10"/>
  <c r="AG43" i="10"/>
  <c r="AB43" i="10"/>
  <c r="AA43" i="10"/>
  <c r="U43" i="10"/>
  <c r="AI42" i="10"/>
  <c r="AH42" i="10"/>
  <c r="AG42" i="10"/>
  <c r="AB42" i="10"/>
  <c r="AA42" i="10"/>
  <c r="U42" i="10"/>
  <c r="AI41" i="10"/>
  <c r="AH41" i="10"/>
  <c r="AG41" i="10"/>
  <c r="AB41" i="10"/>
  <c r="AA41" i="10"/>
  <c r="U41" i="10"/>
  <c r="AI40" i="10"/>
  <c r="AH40" i="10"/>
  <c r="AG40" i="10"/>
  <c r="AB40" i="10"/>
  <c r="AA40" i="10"/>
  <c r="U40" i="10"/>
  <c r="AI39" i="10"/>
  <c r="AH39" i="10"/>
  <c r="AG39" i="10"/>
  <c r="AB39" i="10"/>
  <c r="AA39" i="10"/>
  <c r="U39" i="10"/>
  <c r="AI38" i="10"/>
  <c r="AH38" i="10"/>
  <c r="AG38" i="10"/>
  <c r="AB38" i="10"/>
  <c r="AA38" i="10"/>
  <c r="U38" i="10"/>
  <c r="AI37" i="10"/>
  <c r="AH37" i="10"/>
  <c r="AG37" i="10"/>
  <c r="AB37" i="10"/>
  <c r="AA37" i="10"/>
  <c r="U37" i="10"/>
  <c r="AI36" i="10"/>
  <c r="AH36" i="10"/>
  <c r="AG36" i="10"/>
  <c r="AB36" i="10"/>
  <c r="AA36" i="10"/>
  <c r="U36" i="10"/>
  <c r="AI35" i="10"/>
  <c r="AH35" i="10"/>
  <c r="AG35" i="10"/>
  <c r="AB35" i="10"/>
  <c r="AA35" i="10"/>
  <c r="U35" i="10"/>
  <c r="AI34" i="10"/>
  <c r="AH34" i="10"/>
  <c r="AG34" i="10"/>
  <c r="AB34" i="10"/>
  <c r="AA34" i="10"/>
  <c r="U34" i="10"/>
  <c r="AI33" i="10"/>
  <c r="AH33" i="10"/>
  <c r="AG33" i="10"/>
  <c r="AB33" i="10"/>
  <c r="AA33" i="10"/>
  <c r="U33" i="10"/>
  <c r="AI32" i="10"/>
  <c r="AH32" i="10"/>
  <c r="AG32" i="10"/>
  <c r="AB32" i="10"/>
  <c r="AA32" i="10"/>
  <c r="U32" i="10"/>
  <c r="AI31" i="10"/>
  <c r="AH31" i="10"/>
  <c r="AG31" i="10"/>
  <c r="AB31" i="10"/>
  <c r="AA31" i="10"/>
  <c r="U31" i="10"/>
  <c r="AI30" i="10"/>
  <c r="AH30" i="10"/>
  <c r="AG30" i="10"/>
  <c r="AB30" i="10"/>
  <c r="AA30" i="10"/>
  <c r="U30" i="10"/>
  <c r="AI29" i="10"/>
  <c r="AH29" i="10"/>
  <c r="AG29" i="10"/>
  <c r="AB29" i="10"/>
  <c r="AA29" i="10"/>
  <c r="U29" i="10"/>
  <c r="AI28" i="10"/>
  <c r="AH28" i="10"/>
  <c r="AG28" i="10"/>
  <c r="AB28" i="10"/>
  <c r="AA28" i="10"/>
  <c r="U28" i="10"/>
  <c r="AI27" i="10"/>
  <c r="AH27" i="10"/>
  <c r="AG27" i="10"/>
  <c r="AB27" i="10"/>
  <c r="AA27" i="10"/>
  <c r="U27" i="10"/>
  <c r="AI26" i="10"/>
  <c r="AH26" i="10"/>
  <c r="AG26" i="10"/>
  <c r="AB26" i="10"/>
  <c r="AA26" i="10"/>
  <c r="U26" i="10"/>
  <c r="AI25" i="10"/>
  <c r="AH25" i="10"/>
  <c r="AG25" i="10"/>
  <c r="AB25" i="10"/>
  <c r="AA25" i="10"/>
  <c r="U25" i="10"/>
  <c r="AI24" i="10"/>
  <c r="AH24" i="10"/>
  <c r="AG24" i="10"/>
  <c r="AB24" i="10"/>
  <c r="AA24" i="10"/>
  <c r="U24" i="10"/>
  <c r="AI23" i="10"/>
  <c r="AH23" i="10"/>
  <c r="AG23" i="10"/>
  <c r="AB23" i="10"/>
  <c r="AA23" i="10"/>
  <c r="U23" i="10"/>
  <c r="AI22" i="10"/>
  <c r="AH22" i="10"/>
  <c r="AG22" i="10"/>
  <c r="AB22" i="10"/>
  <c r="AA22" i="10"/>
  <c r="U22" i="10"/>
  <c r="AI21" i="10"/>
  <c r="AH21" i="10"/>
  <c r="AG21" i="10"/>
  <c r="AB21" i="10"/>
  <c r="AA21" i="10"/>
  <c r="U21" i="10"/>
  <c r="AI20" i="10"/>
  <c r="AH20" i="10"/>
  <c r="AG20" i="10"/>
  <c r="AB20" i="10"/>
  <c r="AA20" i="10"/>
  <c r="U20" i="10"/>
  <c r="AI19" i="10"/>
  <c r="AH19" i="10"/>
  <c r="AG19" i="10"/>
  <c r="AB19" i="10"/>
  <c r="AA19" i="10"/>
  <c r="U19" i="10"/>
  <c r="AI18" i="10"/>
  <c r="AH18" i="10"/>
  <c r="AG18" i="10"/>
  <c r="AB18" i="10"/>
  <c r="AA18" i="10"/>
  <c r="U18" i="10"/>
  <c r="AI17" i="10"/>
  <c r="AH17" i="10"/>
  <c r="AG17" i="10"/>
  <c r="AB17" i="10"/>
  <c r="AA17" i="10"/>
  <c r="U17" i="10"/>
  <c r="AI16" i="10"/>
  <c r="AH16" i="10"/>
  <c r="AG16" i="10"/>
  <c r="AB16" i="10"/>
  <c r="AA16" i="10"/>
  <c r="U16" i="10"/>
  <c r="AI15" i="10"/>
  <c r="AH15" i="10"/>
  <c r="AG15" i="10"/>
  <c r="AB15" i="10"/>
  <c r="AA15" i="10"/>
  <c r="U15" i="10"/>
  <c r="AI14" i="10"/>
  <c r="AH14" i="10"/>
  <c r="AG14" i="10"/>
  <c r="AB14" i="10"/>
  <c r="AA14" i="10"/>
  <c r="U14" i="10"/>
  <c r="AI13" i="10"/>
  <c r="AH13" i="10"/>
  <c r="AG13" i="10"/>
  <c r="AB13" i="10"/>
  <c r="AA13" i="10"/>
  <c r="U13" i="10"/>
  <c r="AI12" i="10"/>
  <c r="AH12" i="10"/>
  <c r="AG12" i="10"/>
  <c r="AB12" i="10"/>
  <c r="AA12" i="10"/>
  <c r="U12" i="10"/>
  <c r="AI11" i="10"/>
  <c r="AH11" i="10"/>
  <c r="AG11" i="10"/>
  <c r="AB11" i="10"/>
  <c r="AA11" i="10"/>
  <c r="U11" i="10"/>
  <c r="AI10" i="10"/>
  <c r="AH10" i="10"/>
  <c r="AG10" i="10"/>
  <c r="AB10" i="10"/>
  <c r="AA10" i="10"/>
  <c r="U10" i="10"/>
  <c r="AI9" i="10"/>
  <c r="AH9" i="10"/>
  <c r="AG9" i="10"/>
  <c r="AB9" i="10"/>
  <c r="AA9" i="10"/>
  <c r="U9" i="10"/>
  <c r="AI8" i="10"/>
  <c r="AH8" i="10"/>
  <c r="AG8" i="10"/>
  <c r="AB8" i="10"/>
  <c r="AA8" i="10"/>
  <c r="U8" i="10"/>
  <c r="AI7" i="10"/>
  <c r="AH7" i="10"/>
  <c r="AG7" i="10"/>
  <c r="AB7" i="10"/>
  <c r="AA7" i="10"/>
  <c r="U7" i="10"/>
  <c r="AI6" i="10"/>
  <c r="AH6" i="10"/>
  <c r="AG6" i="10"/>
  <c r="AB6" i="10"/>
  <c r="AA6" i="10"/>
  <c r="U6" i="10"/>
  <c r="AI5" i="10"/>
  <c r="AH5" i="10"/>
  <c r="AG5" i="10"/>
  <c r="AB5" i="10"/>
  <c r="AA5" i="10"/>
  <c r="U5" i="10"/>
  <c r="AD3" i="10"/>
  <c r="X3" i="10"/>
  <c r="V3" i="10"/>
  <c r="T3" i="10"/>
  <c r="R3" i="10"/>
  <c r="P3" i="10"/>
  <c r="M46" i="6" l="1"/>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6" i="6"/>
  <c r="M15" i="6"/>
  <c r="M14" i="6"/>
  <c r="M13" i="6"/>
  <c r="M12" i="6"/>
  <c r="M11" i="6"/>
  <c r="M9" i="6"/>
  <c r="M8" i="6"/>
  <c r="M6" i="6"/>
  <c r="F10" i="5"/>
  <c r="I6" i="3"/>
  <c r="M47" i="6"/>
  <c r="J5" i="2"/>
  <c r="Q22" i="2"/>
  <c r="P22" i="2"/>
  <c r="O22" i="2"/>
  <c r="N22" i="2"/>
  <c r="M22" i="2"/>
  <c r="AA21" i="2"/>
  <c r="Z21" i="2"/>
  <c r="Y21" i="2"/>
  <c r="X21" i="2"/>
  <c r="W21" i="2"/>
  <c r="V21" i="2"/>
  <c r="U21" i="2"/>
  <c r="S21" i="2"/>
  <c r="R21" i="2"/>
  <c r="Q21" i="2"/>
  <c r="P21" i="2"/>
  <c r="O21" i="2"/>
  <c r="N21" i="2"/>
  <c r="M21" i="2"/>
  <c r="U19" i="2"/>
  <c r="M19" i="2"/>
  <c r="E14" i="8"/>
  <c r="J73" i="4" s="1"/>
  <c r="I73" i="4"/>
  <c r="E13" i="8"/>
  <c r="I72" i="4"/>
  <c r="B15" i="8"/>
  <c r="C34" i="11"/>
  <c r="C35" i="11" s="1"/>
  <c r="Q8" i="7"/>
  <c r="J59" i="4"/>
  <c r="J51" i="4"/>
  <c r="E8" i="5"/>
  <c r="J50" i="4"/>
  <c r="E7" i="5"/>
  <c r="J47" i="4"/>
  <c r="E6" i="5"/>
  <c r="J45" i="4"/>
  <c r="Q7" i="7"/>
  <c r="E5" i="5"/>
  <c r="Q6" i="7"/>
  <c r="J31" i="4"/>
  <c r="J23" i="4"/>
  <c r="B8" i="5"/>
  <c r="J22" i="4"/>
  <c r="B7" i="5"/>
  <c r="B6" i="5"/>
  <c r="F6" i="5" s="1"/>
  <c r="J19" i="4"/>
  <c r="B5" i="5"/>
  <c r="F5" i="5" s="1"/>
  <c r="J17" i="4"/>
  <c r="Q5" i="7"/>
  <c r="G11" i="5"/>
  <c r="C11" i="5"/>
  <c r="D11" i="5"/>
  <c r="G9" i="5"/>
  <c r="C9" i="5"/>
  <c r="D9" i="5"/>
  <c r="AA15" i="2"/>
  <c r="Z15" i="2"/>
  <c r="Y15" i="2"/>
  <c r="X15" i="2"/>
  <c r="W15" i="2"/>
  <c r="V15" i="2"/>
  <c r="U15" i="2"/>
  <c r="S15" i="2"/>
  <c r="R15" i="2"/>
  <c r="Q15" i="2"/>
  <c r="P15" i="2"/>
  <c r="O15" i="2"/>
  <c r="N15" i="2"/>
  <c r="M15" i="2"/>
  <c r="AA14" i="2"/>
  <c r="Z14" i="2"/>
  <c r="Y14" i="2"/>
  <c r="X14" i="2"/>
  <c r="W14" i="2"/>
  <c r="V14" i="2"/>
  <c r="U14" i="2"/>
  <c r="S14" i="2"/>
  <c r="R14" i="2"/>
  <c r="Q14" i="2"/>
  <c r="P14" i="2"/>
  <c r="O14" i="2"/>
  <c r="AA17" i="2"/>
  <c r="M14" i="2"/>
  <c r="AA13" i="2"/>
  <c r="Z13" i="2"/>
  <c r="Y13" i="2"/>
  <c r="X13" i="2"/>
  <c r="W13" i="2"/>
  <c r="V13" i="2"/>
  <c r="U13" i="2"/>
  <c r="S13" i="2"/>
  <c r="R13" i="2"/>
  <c r="Q13" i="2"/>
  <c r="P13" i="2"/>
  <c r="O13" i="2"/>
  <c r="N13" i="2"/>
  <c r="M13" i="2"/>
  <c r="AA12" i="2"/>
  <c r="Z12" i="2"/>
  <c r="Y12" i="2"/>
  <c r="X12" i="2"/>
  <c r="W12" i="2"/>
  <c r="V12" i="2"/>
  <c r="U12" i="2"/>
  <c r="S12" i="2"/>
  <c r="Z17" i="2"/>
  <c r="Q12" i="2"/>
  <c r="P12" i="2"/>
  <c r="O12" i="2"/>
  <c r="N12" i="2"/>
  <c r="M12" i="2"/>
  <c r="U10" i="2"/>
  <c r="M10" i="2"/>
  <c r="J10" i="2"/>
  <c r="N14" i="2"/>
  <c r="F10" i="2"/>
  <c r="D10" i="2"/>
  <c r="B10" i="2"/>
  <c r="Y17" i="2"/>
  <c r="X17" i="2"/>
  <c r="W17" i="2"/>
  <c r="V17" i="2"/>
  <c r="U17" i="2"/>
  <c r="S17" i="2"/>
  <c r="R17" i="2"/>
  <c r="R12" i="2"/>
  <c r="Q17" i="2"/>
  <c r="P17" i="2"/>
  <c r="O17" i="2"/>
  <c r="N17" i="2"/>
  <c r="M17" i="2"/>
  <c r="AA16" i="2"/>
  <c r="Z16" i="2"/>
  <c r="Y16" i="2"/>
  <c r="X16" i="2"/>
  <c r="W16" i="2"/>
  <c r="V16" i="2"/>
  <c r="U16" i="2"/>
  <c r="S16" i="2"/>
  <c r="R16" i="2"/>
  <c r="Q16" i="2"/>
  <c r="P16" i="2"/>
  <c r="O16" i="2"/>
  <c r="N16" i="2"/>
  <c r="M16" i="2"/>
  <c r="H10" i="2"/>
  <c r="Z3" i="10"/>
  <c r="AB3" i="10"/>
  <c r="G10" i="5" l="1"/>
  <c r="C10" i="5"/>
  <c r="D10" i="5"/>
  <c r="J72" i="4"/>
  <c r="G74" i="4"/>
  <c r="E15" i="8"/>
  <c r="R8" i="7"/>
  <c r="J67" i="4" s="1"/>
  <c r="G67" i="4"/>
  <c r="E7" i="3"/>
  <c r="R7" i="7"/>
  <c r="J53" i="4" s="1"/>
  <c r="G53" i="4"/>
  <c r="D6" i="3"/>
  <c r="E12" i="5"/>
  <c r="R6" i="7"/>
  <c r="J39" i="4" s="1"/>
  <c r="G39" i="4"/>
  <c r="D5" i="3"/>
  <c r="G6" i="5"/>
  <c r="C6" i="5"/>
  <c r="D6" i="5"/>
  <c r="G5" i="5"/>
  <c r="C5" i="5"/>
  <c r="D5" i="5"/>
  <c r="R5" i="7"/>
  <c r="J25" i="4" s="1"/>
  <c r="G25" i="4"/>
  <c r="L7" i="5"/>
  <c r="L9" i="5" s="1"/>
  <c r="E5" i="3"/>
  <c r="E6" i="3"/>
  <c r="D7" i="3"/>
  <c r="B12" i="5"/>
  <c r="AG11" i="2"/>
  <c r="AG12" i="2"/>
  <c r="AG13" i="2"/>
  <c r="AG14" i="2"/>
  <c r="AG15" i="2"/>
  <c r="AG16" i="2"/>
  <c r="AG17" i="2"/>
  <c r="AG18" i="2"/>
  <c r="AG22" i="2"/>
  <c r="AG19" i="2"/>
  <c r="AG20" i="2"/>
  <c r="AG21" i="2"/>
  <c r="AE11" i="2"/>
  <c r="AE12" i="2"/>
  <c r="AE13" i="2"/>
  <c r="AE14" i="2"/>
  <c r="AE15" i="2"/>
  <c r="AE16" i="2"/>
  <c r="AE17" i="2"/>
  <c r="AE18" i="2"/>
  <c r="AE21" i="2"/>
  <c r="AE22" i="2"/>
  <c r="AE19" i="2"/>
  <c r="AE20" i="2"/>
  <c r="AD11" i="2"/>
  <c r="AD12" i="2"/>
  <c r="AD13" i="2"/>
  <c r="AD14" i="2"/>
  <c r="AD15" i="2"/>
  <c r="AD16" i="2"/>
  <c r="AD17" i="2"/>
  <c r="AD18" i="2"/>
  <c r="AD22" i="2"/>
  <c r="AD19" i="2"/>
  <c r="AD20" i="2"/>
  <c r="AD21" i="2"/>
  <c r="AC11" i="2"/>
  <c r="AC12" i="2"/>
  <c r="AC13" i="2"/>
  <c r="AC14" i="2"/>
  <c r="AC15" i="2"/>
  <c r="AC16" i="2"/>
  <c r="AC17" i="2"/>
  <c r="AC18" i="2"/>
  <c r="AC21" i="2"/>
  <c r="AC22" i="2"/>
  <c r="AC19" i="2"/>
  <c r="AC20" i="2"/>
  <c r="AF11" i="2"/>
  <c r="AF12" i="2"/>
  <c r="AF13" i="2"/>
  <c r="AF14" i="2"/>
  <c r="AF15" i="2"/>
  <c r="AF16" i="2"/>
  <c r="AF17" i="2"/>
  <c r="AF18" i="2"/>
  <c r="AF19" i="2"/>
  <c r="AF20" i="2"/>
  <c r="AF22" i="2"/>
  <c r="AF21" i="2"/>
  <c r="F8" i="5"/>
  <c r="F7" i="5"/>
  <c r="F6" i="3" l="1"/>
  <c r="F5" i="3"/>
  <c r="H6" i="5"/>
  <c r="J6" i="3"/>
  <c r="J5" i="3"/>
  <c r="H5" i="5"/>
  <c r="H11" i="5"/>
  <c r="H9" i="5"/>
  <c r="H10" i="5"/>
  <c r="B17" i="5"/>
  <c r="J11" i="2"/>
  <c r="K11" i="2"/>
  <c r="J12" i="2"/>
  <c r="K12" i="2"/>
  <c r="J13" i="2"/>
  <c r="K13" i="2"/>
  <c r="J14" i="2"/>
  <c r="K14" i="2"/>
  <c r="J15" i="2"/>
  <c r="K15" i="2"/>
  <c r="J16" i="2"/>
  <c r="K16" i="2"/>
  <c r="J17" i="2"/>
  <c r="K17" i="2"/>
  <c r="J18" i="2"/>
  <c r="K18" i="2"/>
  <c r="J22" i="2"/>
  <c r="K22" i="2"/>
  <c r="K19" i="2"/>
  <c r="J19" i="2"/>
  <c r="K20" i="2"/>
  <c r="J20" i="2"/>
  <c r="K21" i="2"/>
  <c r="J21" i="2"/>
  <c r="F11" i="2"/>
  <c r="G11" i="2"/>
  <c r="F12" i="2"/>
  <c r="G12" i="2"/>
  <c r="F13" i="2"/>
  <c r="G13" i="2"/>
  <c r="F14" i="2"/>
  <c r="G14" i="2"/>
  <c r="F15" i="2"/>
  <c r="G15" i="2"/>
  <c r="F16" i="2"/>
  <c r="G16" i="2"/>
  <c r="F17" i="2"/>
  <c r="G17" i="2"/>
  <c r="F18" i="2"/>
  <c r="G18" i="2"/>
  <c r="G21" i="2"/>
  <c r="F21" i="2"/>
  <c r="F22" i="2"/>
  <c r="G22" i="2"/>
  <c r="F19" i="2"/>
  <c r="G19" i="2"/>
  <c r="G20" i="2"/>
  <c r="F20" i="2"/>
  <c r="D11" i="2"/>
  <c r="E11" i="2"/>
  <c r="D12" i="2"/>
  <c r="E12" i="2"/>
  <c r="D13" i="2"/>
  <c r="E13" i="2"/>
  <c r="D14" i="2"/>
  <c r="E14" i="2"/>
  <c r="D15" i="2"/>
  <c r="E15" i="2"/>
  <c r="D16" i="2"/>
  <c r="E16" i="2"/>
  <c r="D17" i="2"/>
  <c r="E17" i="2"/>
  <c r="D18" i="2"/>
  <c r="E18" i="2"/>
  <c r="D22" i="2"/>
  <c r="E22" i="2"/>
  <c r="D19" i="2"/>
  <c r="E19" i="2"/>
  <c r="E20" i="2"/>
  <c r="D20" i="2"/>
  <c r="E21" i="2"/>
  <c r="D21" i="2"/>
  <c r="B11" i="2"/>
  <c r="C11" i="2"/>
  <c r="B12" i="2"/>
  <c r="C12" i="2"/>
  <c r="B13" i="2"/>
  <c r="C13" i="2"/>
  <c r="B14" i="2"/>
  <c r="C14" i="2"/>
  <c r="B15" i="2"/>
  <c r="C15" i="2"/>
  <c r="B16" i="2"/>
  <c r="C16" i="2"/>
  <c r="B17" i="2"/>
  <c r="C17" i="2"/>
  <c r="B18" i="2"/>
  <c r="C18" i="2"/>
  <c r="B21" i="2"/>
  <c r="C21" i="2"/>
  <c r="B22" i="2"/>
  <c r="C22" i="2"/>
  <c r="B19" i="2"/>
  <c r="C19" i="2"/>
  <c r="B20" i="2"/>
  <c r="C20" i="2"/>
  <c r="H11" i="2"/>
  <c r="I11" i="2"/>
  <c r="H12" i="2"/>
  <c r="I12" i="2"/>
  <c r="H13" i="2"/>
  <c r="I13" i="2"/>
  <c r="H14" i="2"/>
  <c r="I14" i="2"/>
  <c r="H15" i="2"/>
  <c r="I15" i="2"/>
  <c r="H16" i="2"/>
  <c r="I16" i="2"/>
  <c r="H17" i="2"/>
  <c r="I17" i="2"/>
  <c r="H18" i="2"/>
  <c r="I18" i="2"/>
  <c r="H19" i="2"/>
  <c r="I19" i="2"/>
  <c r="H20" i="2"/>
  <c r="I20" i="2"/>
  <c r="H22" i="2"/>
  <c r="I22" i="2"/>
  <c r="I21" i="2"/>
  <c r="H21" i="2"/>
  <c r="D8" i="5"/>
  <c r="C8" i="5"/>
  <c r="G8" i="5"/>
  <c r="H8" i="5" s="1"/>
  <c r="D7" i="5"/>
  <c r="C7" i="5"/>
  <c r="G7" i="5"/>
  <c r="F7" i="3"/>
  <c r="F12" i="5"/>
  <c r="J74" i="4"/>
  <c r="E17" i="8"/>
  <c r="B19" i="5"/>
  <c r="B18" i="5"/>
  <c r="H7" i="5" l="1"/>
  <c r="B16" i="5"/>
  <c r="L6" i="3"/>
  <c r="M6" i="3" s="1"/>
  <c r="B7" i="4" s="1"/>
  <c r="H7" i="4" s="1"/>
  <c r="K6" i="3"/>
  <c r="L5" i="3"/>
  <c r="M5" i="3" s="1"/>
  <c r="B6" i="4" s="1"/>
  <c r="H6" i="4" s="1"/>
  <c r="K5" i="3"/>
  <c r="J7" i="3"/>
  <c r="F8" i="3"/>
  <c r="G76" i="4"/>
  <c r="B18" i="8"/>
  <c r="L7" i="3" l="1"/>
  <c r="M7" i="3" s="1"/>
  <c r="B8" i="4" s="1"/>
  <c r="H8" i="4" s="1"/>
  <c r="K7" i="3"/>
  <c r="J76" i="4"/>
  <c r="J8" i="3"/>
  <c r="M8" i="3"/>
  <c r="B9" i="4" s="1"/>
  <c r="H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5" authorId="0" shapeId="0" xr:uid="{00000000-0006-0000-0200-000001000000}">
      <text>
        <r>
          <rPr>
            <sz val="11"/>
            <color theme="1"/>
            <rFont val="Calibri"/>
            <family val="2"/>
            <charset val="1"/>
          </rPr>
          <t>Example uses =TODAY()-2. Overwrite with the actual date you reviewed.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18" authorId="0" shapeId="0" xr:uid="{00000000-0006-0000-0300-000001000000}">
      <text>
        <r>
          <rPr>
            <sz val="11"/>
            <color theme="1"/>
            <rFont val="Calibri"/>
            <family val="2"/>
            <charset val="1"/>
          </rPr>
          <t>BLS CPI-U, Aug vs May</t>
        </r>
      </text>
    </comment>
    <comment ref="F20" authorId="0" shapeId="0" xr:uid="{00000000-0006-0000-0300-000002000000}">
      <text>
        <r>
          <rPr>
            <sz val="11"/>
            <color theme="1"/>
            <rFont val="Calibri"/>
            <family val="2"/>
            <charset val="1"/>
          </rPr>
          <t>Avg hourly earnings, Aug vs May</t>
        </r>
      </text>
    </comment>
    <comment ref="F21" authorId="0" shapeId="0" xr:uid="{00000000-0006-0000-0300-000003000000}">
      <text>
        <r>
          <rPr>
            <sz val="11"/>
            <color theme="1"/>
            <rFont val="Calibri"/>
            <family val="2"/>
            <charset val="1"/>
          </rPr>
          <t>Q2 vs Q1, q/q (BEA 1.5% / 2.1% annualised)</t>
        </r>
      </text>
    </comment>
    <comment ref="F32" authorId="0" shapeId="0" xr:uid="{00000000-0006-0000-0300-000004000000}">
      <text>
        <r>
          <rPr>
            <sz val="11"/>
            <color theme="1"/>
            <rFont val="Calibri"/>
            <family val="2"/>
            <charset val="1"/>
          </rPr>
          <t>Eurostat HICP, Aug vs May</t>
        </r>
      </text>
    </comment>
    <comment ref="F34" authorId="0" shapeId="0" xr:uid="{00000000-0006-0000-0300-000005000000}">
      <text>
        <r>
          <rPr>
            <sz val="11"/>
            <color theme="1"/>
            <rFont val="Calibri"/>
            <family val="2"/>
            <charset val="1"/>
          </rPr>
          <t>ECB wage tracker, Q3 2026 negotiated</t>
        </r>
      </text>
    </comment>
    <comment ref="F35" authorId="0" shapeId="0" xr:uid="{00000000-0006-0000-0300-000006000000}">
      <text>
        <r>
          <rPr>
            <sz val="11"/>
            <color theme="1"/>
            <rFont val="Calibri"/>
            <family val="2"/>
            <charset val="1"/>
          </rPr>
          <t>Q2 vs Q1, q/q (Eurostat)</t>
        </r>
      </text>
    </comment>
    <comment ref="F46" authorId="0" shapeId="0" xr:uid="{00000000-0006-0000-0300-000007000000}">
      <text>
        <r>
          <rPr>
            <sz val="11"/>
            <color theme="1"/>
            <rFont val="Calibri"/>
            <family val="2"/>
            <charset val="1"/>
          </rPr>
          <t>ONS CPI, Aug vs May</t>
        </r>
      </text>
    </comment>
    <comment ref="F48" authorId="0" shapeId="0" xr:uid="{00000000-0006-0000-0300-000008000000}">
      <text>
        <r>
          <rPr>
            <sz val="11"/>
            <color theme="1"/>
            <rFont val="Calibri"/>
            <family val="2"/>
            <charset val="1"/>
          </rPr>
          <t>Regular pay (3m avg, KAI9), Jul vs Apr</t>
        </r>
      </text>
    </comment>
    <comment ref="F49" authorId="0" shapeId="0" xr:uid="{00000000-0006-0000-0300-000009000000}">
      <text>
        <r>
          <rPr>
            <sz val="11"/>
            <color theme="1"/>
            <rFont val="Calibri"/>
            <family val="2"/>
            <charset val="1"/>
          </rPr>
          <t>Q2 vs Q1, q/q (ONS)</t>
        </r>
      </text>
    </comment>
    <comment ref="F60" authorId="0" shapeId="0" xr:uid="{00000000-0006-0000-0300-00000A000000}">
      <text>
        <r>
          <rPr>
            <sz val="11"/>
            <color theme="1"/>
            <rFont val="Calibri"/>
            <family val="2"/>
            <charset val="1"/>
          </rPr>
          <t>Statistics Bureau CPI, Aug</t>
        </r>
      </text>
    </comment>
    <comment ref="F62" authorId="0" shapeId="0" xr:uid="{00000000-0006-0000-0300-00000B000000}">
      <text>
        <r>
          <rPr>
            <sz val="11"/>
            <color theme="1"/>
            <rFont val="Calibri"/>
            <family val="2"/>
            <charset val="1"/>
          </rPr>
          <t>Avg cash earnings, Jul (nominal)</t>
        </r>
      </text>
    </comment>
    <comment ref="F63" authorId="0" shapeId="0" xr:uid="{00000000-0006-0000-0300-00000C000000}">
      <text>
        <r>
          <rPr>
            <sz val="11"/>
            <color theme="1"/>
            <rFont val="Calibri"/>
            <family val="2"/>
            <charset val="1"/>
          </rPr>
          <t>Q2 vs Q1, q/q (1.4% / 1.8% annualised)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4" authorId="0" shapeId="0" xr:uid="{00000000-0006-0000-0600-000001000000}">
      <text>
        <r>
          <rPr>
            <sz val="11"/>
            <color theme="1"/>
            <rFont val="Calibri"/>
            <family val="2"/>
            <charset val="1"/>
          </rPr>
          <t>+1 above target &amp; not falling · −1 falling &amp; near/below target · 0 otherwise</t>
        </r>
      </text>
    </comment>
    <comment ref="P4" authorId="0" shapeId="0" xr:uid="{00000000-0006-0000-0600-000002000000}">
      <text>
        <r>
          <rPr>
            <sz val="11"/>
            <color theme="1"/>
            <rFont val="Calibri"/>
            <family val="2"/>
            <charset val="1"/>
          </rPr>
          <t>The 1-month move in the 2Y yield is used as a free proxy for how the market is repricing the central bank.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6" authorId="0" shapeId="0" xr:uid="{00000000-0006-0000-0800-000001000000}">
      <text>
        <r>
          <rPr>
            <sz val="11"/>
            <color theme="1"/>
            <rFont val="Calibri"/>
            <family val="2"/>
            <charset val="1"/>
          </rPr>
          <t>Approximate mid-September 2026 level (CNBC / Trading Economics). Update before use.</t>
        </r>
      </text>
    </comment>
    <comment ref="B7" authorId="0" shapeId="0" xr:uid="{00000000-0006-0000-0800-000002000000}">
      <text>
        <r>
          <rPr>
            <sz val="11"/>
            <color theme="1"/>
            <rFont val="Calibri"/>
            <family val="2"/>
            <charset val="1"/>
          </rPr>
          <t>Approx. XAU/USD on 18 Sep 2026: Dec futures traded ~4,420 (Yahoo Finance); spot slightly lower. Update before use.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N3" authorId="0" shapeId="0" xr:uid="{00000000-0006-0000-0900-000001000000}">
      <text>
        <r>
          <rPr>
            <sz val="11"/>
            <color theme="1"/>
            <rFont val="Calibri"/>
            <family val="2"/>
            <charset val="1"/>
          </rPr>
          <t>User: type the account size here. Risk (% acct) divides by this.</t>
        </r>
      </text>
    </comment>
    <comment ref="M4" authorId="0" shapeId="0" xr:uid="{00000000-0006-0000-0900-000002000000}">
      <text>
        <r>
          <rPr>
            <sz val="11"/>
            <color theme="1"/>
            <rFont val="Calibri"/>
            <family val="2"/>
            <charset val="1"/>
          </rPr>
          <t>Running number. One row per trade, even partial closes get their own row.</t>
        </r>
      </text>
    </comment>
    <comment ref="N4" authorId="0" shapeId="0" xr:uid="{00000000-0006-0000-0900-000003000000}">
      <text>
        <r>
          <rPr>
            <sz val="11"/>
            <color theme="1"/>
            <rFont val="Calibri"/>
            <family val="2"/>
            <charset val="1"/>
          </rPr>
          <t>Date the position was opened (type a real date).</t>
        </r>
      </text>
    </comment>
    <comment ref="O4" authorId="0" shapeId="0" xr:uid="{00000000-0006-0000-0900-000004000000}">
      <text>
        <r>
          <rPr>
            <sz val="11"/>
            <color theme="1"/>
            <rFont val="Calibri"/>
            <family val="2"/>
            <charset val="1"/>
          </rPr>
          <t>Ticker / pair, e.g. EURUSD, XAUUSD, TTWO.</t>
        </r>
      </text>
    </comment>
    <comment ref="P4" authorId="0" shapeId="0" xr:uid="{00000000-0006-0000-0900-000005000000}">
      <text>
        <r>
          <rPr>
            <sz val="11"/>
            <color theme="1"/>
            <rFont val="Calibri"/>
            <family val="2"/>
            <charset val="1"/>
          </rPr>
          <t>Long or Short.</t>
        </r>
      </text>
    </comment>
    <comment ref="Q4" authorId="0" shapeId="0" xr:uid="{00000000-0006-0000-0900-000006000000}">
      <text>
        <r>
          <rPr>
            <sz val="11"/>
            <color theme="1"/>
            <rFont val="Calibri"/>
            <family val="2"/>
            <charset val="1"/>
          </rPr>
          <t>Name of the playbook setup (e.g. 'Liquidity sweep + FVG', 'Breakout retest'). Use the same names every time so the setups can be compared.</t>
        </r>
      </text>
    </comment>
    <comment ref="R4" authorId="0" shapeId="0" xr:uid="{00000000-0006-0000-0900-000007000000}">
      <text>
        <r>
          <rPr>
            <sz val="11"/>
            <color theme="1"/>
            <rFont val="Calibri"/>
            <family val="2"/>
            <charset val="1"/>
          </rPr>
          <t>Chart timeframe the entry was taken on.</t>
        </r>
      </text>
    </comment>
    <comment ref="S4" authorId="0" shapeId="0" xr:uid="{00000000-0006-0000-0900-000008000000}">
      <text>
        <r>
          <rPr>
            <sz val="11"/>
            <color theme="1"/>
            <rFont val="Calibri"/>
            <family val="2"/>
            <charset val="1"/>
          </rPr>
          <t>Market session at entry: Asia, London, New York, London–NY overlap, or Off-hours.</t>
        </r>
      </text>
    </comment>
    <comment ref="T4" authorId="0" shapeId="0" xr:uid="{00000000-0006-0000-0900-000009000000}">
      <text>
        <r>
          <rPr>
            <sz val="11"/>
            <color theme="1"/>
            <rFont val="Calibri"/>
            <family val="2"/>
            <charset val="1"/>
          </rPr>
          <t>FINAL BIAS from the Bias sheet on the day of entry (LONG / SHORT / FLAT / none). Copy it — the Bias sheet changes, this row must not.</t>
        </r>
      </text>
    </comment>
    <comment ref="U4" authorId="0" shapeId="0" xr:uid="{00000000-0006-0000-0900-00000A000000}">
      <text>
        <r>
          <rPr>
            <sz val="11"/>
            <color theme="1"/>
            <rFont val="Calibri"/>
            <family val="2"/>
            <charset val="1"/>
          </rPr>
          <t>Formula. WITH = trade direction matches the macro bias. AGAINST = opposite. NO PERMISSION = bias was FLAT/EXPIRED. Tells you whether Layer 1 is adding value.</t>
        </r>
      </text>
    </comment>
    <comment ref="V4" authorId="0" shapeId="0" xr:uid="{00000000-0006-0000-0900-00000B000000}">
      <text>
        <r>
          <rPr>
            <sz val="11"/>
            <color theme="1"/>
            <rFont val="Calibri"/>
            <family val="2"/>
            <charset val="1"/>
          </rPr>
          <t>Average fill price.</t>
        </r>
      </text>
    </comment>
    <comment ref="W4" authorId="0" shapeId="0" xr:uid="{00000000-0006-0000-0900-00000C000000}">
      <text>
        <r>
          <rPr>
            <sz val="11"/>
            <color theme="1"/>
            <rFont val="Calibri"/>
            <family val="2"/>
            <charset val="1"/>
          </rPr>
          <t>Initial stop (the one used to size the trade, not a later moved stop).</t>
        </r>
      </text>
    </comment>
    <comment ref="X4" authorId="0" shapeId="0" xr:uid="{00000000-0006-0000-0900-00000D000000}">
      <text>
        <r>
          <rPr>
            <sz val="11"/>
            <color theme="1"/>
            <rFont val="Calibri"/>
            <family val="2"/>
            <charset val="1"/>
          </rPr>
          <t>Planned target.</t>
        </r>
      </text>
    </comment>
    <comment ref="Y4" authorId="0" shapeId="0" xr:uid="{00000000-0006-0000-0900-00000E000000}">
      <text>
        <r>
          <rPr>
            <sz val="11"/>
            <color theme="1"/>
            <rFont val="Calibri"/>
            <family val="2"/>
            <charset val="1"/>
          </rPr>
          <t>Lots, contracts or shares.</t>
        </r>
      </text>
    </comment>
    <comment ref="Z4" authorId="0" shapeId="0" xr:uid="{00000000-0006-0000-0900-00000F000000}">
      <text>
        <r>
          <rPr>
            <sz val="11"/>
            <color theme="1"/>
            <rFont val="Calibri"/>
            <family val="2"/>
            <charset val="1"/>
          </rPr>
          <t>Money lost if the initial stop is hit (incl. expected fees). Basis for the R multiple.</t>
        </r>
      </text>
    </comment>
    <comment ref="AA4" authorId="0" shapeId="0" xr:uid="{00000000-0006-0000-0900-000010000000}">
      <text>
        <r>
          <rPr>
            <sz val="11"/>
            <color theme="1"/>
            <rFont val="Calibri"/>
            <family val="2"/>
            <charset val="1"/>
          </rPr>
          <t>Formula: Risk ($) ÷ account size (set in the summary bar above).</t>
        </r>
      </text>
    </comment>
    <comment ref="AB4" authorId="0" shapeId="0" xr:uid="{00000000-0006-0000-0900-000011000000}">
      <text>
        <r>
          <rPr>
            <sz val="11"/>
            <color theme="1"/>
            <rFont val="Calibri"/>
            <family val="2"/>
            <charset val="1"/>
          </rPr>
          <t>Formula: distance to target ÷ distance to stop.</t>
        </r>
      </text>
    </comment>
    <comment ref="AC4" authorId="0" shapeId="0" xr:uid="{00000000-0006-0000-0900-000012000000}">
      <text>
        <r>
          <rPr>
            <sz val="11"/>
            <color theme="1"/>
            <rFont val="Calibri"/>
            <family val="2"/>
            <charset val="1"/>
          </rPr>
          <t>Leave empty while the trade is open.</t>
        </r>
      </text>
    </comment>
    <comment ref="AD4" authorId="0" shapeId="0" xr:uid="{00000000-0006-0000-0900-000013000000}">
      <text>
        <r>
          <rPr>
            <sz val="11"/>
            <color theme="1"/>
            <rFont val="Calibri"/>
            <family val="2"/>
            <charset val="1"/>
          </rPr>
          <t>Average exit price.</t>
        </r>
      </text>
    </comment>
    <comment ref="AE4" authorId="0" shapeId="0" xr:uid="{00000000-0006-0000-0900-000014000000}">
      <text>
        <r>
          <rPr>
            <sz val="11"/>
            <color theme="1"/>
            <rFont val="Calibri"/>
            <family val="2"/>
            <charset val="1"/>
          </rPr>
          <t>Why the trade ended: TP hit, SL hit, Trailing stop, Manual — plan, Manual — emotion, Time stop, Breakeven, Invalidation.</t>
        </r>
      </text>
    </comment>
    <comment ref="AF4" authorId="0" shapeId="0" xr:uid="{00000000-0006-0000-0900-000015000000}">
      <text>
        <r>
          <rPr>
            <sz val="11"/>
            <color theme="1"/>
            <rFont val="Calibri"/>
            <family val="2"/>
            <charset val="1"/>
          </rPr>
          <t>Net result after fees and swaps. Typed in, because contract sizes differ per instrument.</t>
        </r>
      </text>
    </comment>
    <comment ref="AG4" authorId="0" shapeId="0" xr:uid="{00000000-0006-0000-0900-000016000000}">
      <text>
        <r>
          <rPr>
            <sz val="11"/>
            <color theme="1"/>
            <rFont val="Calibri"/>
            <family val="2"/>
            <charset val="1"/>
          </rPr>
          <t>Formula: P&amp;L ÷ Risk ($). +2 = made twice what was risked.</t>
        </r>
      </text>
    </comment>
    <comment ref="AH4" authorId="0" shapeId="0" xr:uid="{00000000-0006-0000-0900-000017000000}">
      <text>
        <r>
          <rPr>
            <sz val="11"/>
            <color theme="1"/>
            <rFont val="Calibri"/>
            <family val="2"/>
            <charset val="1"/>
          </rPr>
          <t>Formula: WIN / LOSS / BE / OPEN.</t>
        </r>
      </text>
    </comment>
    <comment ref="AI4" authorId="0" shapeId="0" xr:uid="{00000000-0006-0000-0900-000018000000}">
      <text>
        <r>
          <rPr>
            <sz val="11"/>
            <color theme="1"/>
            <rFont val="Calibri"/>
            <family val="2"/>
            <charset val="1"/>
          </rPr>
          <t>Formula: Date closed − Date opened.</t>
        </r>
      </text>
    </comment>
    <comment ref="AJ4" authorId="0" shapeId="0" xr:uid="{00000000-0006-0000-0900-000019000000}">
      <text>
        <r>
          <rPr>
            <sz val="11"/>
            <color theme="1"/>
            <rFont val="Calibri"/>
            <family val="2"/>
            <charset val="1"/>
          </rPr>
          <t>Yes / Partly / No — entry, stop, size and exit all per plan?</t>
        </r>
      </text>
    </comment>
    <comment ref="AK4" authorId="0" shapeId="0" xr:uid="{00000000-0006-0000-0900-00001A000000}">
      <text>
        <r>
          <rPr>
            <sz val="11"/>
            <color theme="1"/>
            <rFont val="Calibri"/>
            <family val="2"/>
            <charset val="1"/>
          </rPr>
          <t>Dominant state at entry/exit: Calm, Confident, FOMO, Fear, Revenge, Overconfident, Bored, Tired.</t>
        </r>
      </text>
    </comment>
    <comment ref="AL4" authorId="0" shapeId="0" xr:uid="{00000000-0006-0000-0900-00001B000000}">
      <text>
        <r>
          <rPr>
            <sz val="11"/>
            <color theme="1"/>
            <rFont val="Calibri"/>
            <family val="2"/>
            <charset val="1"/>
          </rPr>
          <t>A+ / A / B / C — quality of the setup before the result was known.</t>
        </r>
      </text>
    </comment>
    <comment ref="AM4" authorId="0" shapeId="0" xr:uid="{00000000-0006-0000-0900-00001C000000}">
      <text>
        <r>
          <rPr>
            <sz val="11"/>
            <color theme="1"/>
            <rFont val="Calibri"/>
            <family val="2"/>
            <charset val="1"/>
          </rPr>
          <t>What went wrong in execution (late entry, moved stop, oversized, no confirmation…). 'None' is a valid answer.</t>
        </r>
      </text>
    </comment>
    <comment ref="AN4" authorId="0" shapeId="0" xr:uid="{00000000-0006-0000-0900-00001D000000}">
      <text>
        <r>
          <rPr>
            <sz val="11"/>
            <color theme="1"/>
            <rFont val="Calibri"/>
            <family val="2"/>
            <charset val="1"/>
          </rPr>
          <t>One lesson to keep. Link it to the bias journal row if the macro view drove the trade.</t>
        </r>
      </text>
    </comment>
    <comment ref="AO4" authorId="0" shapeId="0" xr:uid="{00000000-0006-0000-0900-00001E000000}">
      <text>
        <r>
          <rPr>
            <sz val="11"/>
            <color theme="1"/>
            <rFont val="Calibri"/>
            <family val="2"/>
            <charset val="1"/>
          </rPr>
          <t>Link to a TradingView snapshot of entry and exit.</t>
        </r>
      </text>
    </comment>
  </commentList>
</comments>
</file>

<file path=xl/sharedStrings.xml><?xml version="1.0" encoding="utf-8"?>
<sst xmlns="http://schemas.openxmlformats.org/spreadsheetml/2006/main" count="1594" uniqueCount="1000">
  <si>
    <t>Bias Journal</t>
  </si>
  <si>
    <t>← Guide</t>
  </si>
  <si>
    <t>Trade Journal</t>
  </si>
  <si>
    <t>One row per bias deduced</t>
  </si>
  <si>
    <t>One row per trade. Blue = User types · grey = formula. Hover a header for what to write. Summary updates by itself.</t>
  </si>
  <si>
    <t>Account ($)</t>
  </si>
  <si>
    <t>Closed trades</t>
  </si>
  <si>
    <t>Win rate</t>
  </si>
  <si>
    <t>Avg R (expectancy)</t>
  </si>
  <si>
    <t>Profit factor</t>
  </si>
  <si>
    <t>Net P&amp;L ($)</t>
  </si>
  <si>
    <t>Win rate WITH bias</t>
  </si>
  <si>
    <t>Win rate AGAINST / no bias</t>
  </si>
  <si>
    <t>Plan followed</t>
  </si>
  <si>
    <t>Date</t>
  </si>
  <si>
    <t>Instrument</t>
  </si>
  <si>
    <t>Bias</t>
  </si>
  <si>
    <t>Score</t>
  </si>
  <si>
    <t>Risk regime</t>
  </si>
  <si>
    <t>Key driver</t>
  </si>
  <si>
    <t>Next catalyst</t>
  </si>
  <si>
    <t>Invalidation</t>
  </si>
  <si>
    <t>Outcome after 1 week</t>
  </si>
  <si>
    <t>Was the bias right?</t>
  </si>
  <si>
    <t>Lesson</t>
  </si>
  <si>
    <t>Trade #</t>
  </si>
  <si>
    <t>Date opened</t>
  </si>
  <si>
    <t>Direction</t>
  </si>
  <si>
    <t>Setup / strategy</t>
  </si>
  <si>
    <t>Timeframe</t>
  </si>
  <si>
    <t>Session</t>
  </si>
  <si>
    <t>Macro bias at entry</t>
  </si>
  <si>
    <t>With bias?</t>
  </si>
  <si>
    <t>Entry price</t>
  </si>
  <si>
    <t>Stop loss</t>
  </si>
  <si>
    <t>Take profit</t>
  </si>
  <si>
    <t>Size (lots / units)</t>
  </si>
  <si>
    <t>Risk ($)</t>
  </si>
  <si>
    <t>Risk (% acct)</t>
  </si>
  <si>
    <t>Planned R:R</t>
  </si>
  <si>
    <t>Date closed</t>
  </si>
  <si>
    <t>Exit price</t>
  </si>
  <si>
    <t>Exit reason</t>
  </si>
  <si>
    <t>P&amp;L ($)</t>
  </si>
  <si>
    <t>R multiple</t>
  </si>
  <si>
    <t>Result</t>
  </si>
  <si>
    <t>Days held</t>
  </si>
  <si>
    <t>Followed plan?</t>
  </si>
  <si>
    <t>Emotion</t>
  </si>
  <si>
    <t>Setup grade</t>
  </si>
  <si>
    <t>Mistakes</t>
  </si>
  <si>
    <t>Lesson / notes</t>
  </si>
  <si>
    <t>Screenshot</t>
  </si>
  <si>
    <t>XAUUSD</t>
  </si>
  <si>
    <t>FLAT</t>
  </si>
  <si>
    <t>RISK-ON</t>
  </si>
  <si>
    <t>Tailwinds (CB buying, ETF inflows, Gulf risk) cancelled by real yields at 18-yr high (first Fed hike in 3 yrs)</t>
  </si>
  <si>
    <t>Next Fed meeting / US CPI</t>
  </si>
  <si>
    <t>Long if real yields −15 bp or DXY −1%</t>
  </si>
  <si>
    <t>TTWO</t>
  </si>
  <si>
    <t>SHORT</t>
  </si>
  <si>
    <t xml:space="preserve">GTA 6 and strong defended levels around 187.6. wait until end october before release to catch move </t>
  </si>
  <si>
    <t>release 19 November 2026</t>
  </si>
  <si>
    <t>Short for medium term for now and long if 206 level proves strong. Wait for potential retracement into upside then look for lon</t>
  </si>
  <si>
    <t xml:space="preserve">Entered position on 12th of October </t>
  </si>
  <si>
    <t>Yes</t>
  </si>
  <si>
    <t>The price has been rangy since September and only recently on the 26th of October broke out of the range. On that move out of the range I entered for a long after what I thought was a sharp retracement. When looking at the daily, we are still in a bearish trend, so I should have waited for more confirmation on the daily trend, although there was a fractal break of structure. Follow the confluences for all trades!</t>
  </si>
  <si>
    <t>Macro Tracker — Layer 1 (Macro Permission)</t>
  </si>
  <si>
    <t>Purpose: one weekly bias per instrument — LONG / SHORT / FLAT — with an expiry date. This is a filter, never an entry signal.</t>
  </si>
  <si>
    <t>ROUTINE (every 2 days)</t>
  </si>
  <si>
    <t>SHEET INDEX</t>
  </si>
  <si>
    <t>1. Claude runs the full update cycle every 2 days (Prompts sheet → P0) and logs it on the Update Log.</t>
  </si>
  <si>
    <t>Sheet (click to open)</t>
  </si>
  <si>
    <t>What it's for</t>
  </si>
  <si>
    <t>When</t>
  </si>
  <si>
    <t>2. User reads the Update Log (mark OK / Question / Revert) and the Calendar: what changed, what is coming.</t>
  </si>
  <si>
    <t>Bias  ↗</t>
  </si>
  <si>
    <t>FINAL BIAS per pair — what Layers 2–4 may trade</t>
  </si>
  <si>
    <t>Read weekly</t>
  </si>
  <si>
    <t>3. User opens Bias Builder: model bias vs AI bias, then sets the User bias and User read per pair / currency.</t>
  </si>
  <si>
    <t>Compare  ↗</t>
  </si>
  <si>
    <t>Two currencies side by side — does the evidence back the call?</t>
  </si>
  <si>
    <t>Before a new idea</t>
  </si>
  <si>
    <t>4. Bias: User enters today’s date in “Last reviewed” and writes the invalidation for each pair.</t>
  </si>
  <si>
    <t>Scorecard  ↗</t>
  </si>
  <si>
    <t>Macro data per currency → −1/0/+1 scores and stance</t>
  </si>
  <si>
    <t>Fill weekly</t>
  </si>
  <si>
    <t>4b. Journal: User logs one line per instrument — bias, key driver, next catalyst — and every trade in the trade journal to the right (entry, stop, R, plan followed, emotion).</t>
  </si>
  <si>
    <t>Risk &amp; Gold  ↗</t>
  </si>
  <si>
    <t>VIX risk regime + gold drivers → gold bias</t>
  </si>
  <si>
    <t>5. After a tier-1 event (CPI, jobs, central-bank decision): run P8 for that event, or P4 for that currency.</t>
  </si>
  <si>
    <t>Key Levels  ↗</t>
  </si>
  <si>
    <t>Price levels where big players acted, with distance to price</t>
  </si>
  <si>
    <t>Hub  ↗</t>
  </si>
  <si>
    <t>Links out + one-line story per currency, risk barometer</t>
  </si>
  <si>
    <t>Fill weekly / monthly</t>
  </si>
  <si>
    <t>UNITS &amp; CONVENTIONS</t>
  </si>
  <si>
    <t>Journal  ↗</t>
  </si>
  <si>
    <t>Bias journal (one row per bias) + trade journal on the right (one row per trade) — the User’s tuning data</t>
  </si>
  <si>
    <t>Log weekly</t>
  </si>
  <si>
    <t>•  Percentages are typed as plain numbers: 3.1 means 3.1%.</t>
  </si>
  <si>
    <t>Calendar  ↗</t>
  </si>
  <si>
    <t>Economic calendar — this week + 4-month overview, colour-coded by country and type</t>
  </si>
  <si>
    <t>Open daily</t>
  </si>
  <si>
    <t>•  Yield changes are in basis points (bp): 100 bp = 1 percentage point.</t>
  </si>
  <si>
    <t>Events  ↗</t>
  </si>
  <si>
    <t>The event list behind the Calendar</t>
  </si>
  <si>
    <t>Claude weekly</t>
  </si>
  <si>
    <t>•  Text that starts with 'EXAMPLE:' is illustrative — the User overwrites it with their own read.</t>
  </si>
  <si>
    <t>Sources  ↗</t>
  </si>
  <si>
    <t>Where every input comes from, and who fills it</t>
  </si>
  <si>
    <t>Reference</t>
  </si>
  <si>
    <t>•  Dates: type them as dates (e.g. 21-9-2026), never as a formula like =TODAY().</t>
  </si>
  <si>
    <t>Bias Builder  ↗</t>
  </si>
  <si>
    <t>Per-country evidence (central bank, market pricing, treasury, indicators) + AI bias vs yours</t>
  </si>
  <si>
    <t>Before setting a bias</t>
  </si>
  <si>
    <t>Update Log  ↗</t>
  </si>
  <si>
    <t>What each update run changed — newest at the top</t>
  </si>
  <si>
    <t>After every run</t>
  </si>
  <si>
    <t>RULES / THRESHOLDS (every formula reads from here)</t>
  </si>
  <si>
    <t>Prompts  ↗</t>
  </si>
  <si>
    <t>All update prompts (P0 full cycle … P9) + the update rules</t>
  </si>
  <si>
    <t>To run or schedule</t>
  </si>
  <si>
    <t>Rule</t>
  </si>
  <si>
    <t>Value</t>
  </si>
  <si>
    <t>What it does</t>
  </si>
  <si>
    <t>COLOUR LEGEND</t>
  </si>
  <si>
    <t>Inflation 'near target' band (pp)</t>
  </si>
  <si>
    <t>Core CPI falling AND within this distance of target (or below) = −1. Above target and not falling = +1.</t>
  </si>
  <si>
    <t>CELL TYPES — what the User may touch</t>
  </si>
  <si>
    <t>Unemployment change (pp)</t>
  </si>
  <si>
    <t>Unemployment down ≥ this over 3 months = +1 (tight). Up ≥ this = −1 (weakening).</t>
  </si>
  <si>
    <t>3.10</t>
  </si>
  <si>
    <t>Input — type here</t>
  </si>
  <si>
    <t>Every sheet</t>
  </si>
  <si>
    <t>PMI expansion level</t>
  </si>
  <si>
    <t>Composite PMI ≥ this = +1.</t>
  </si>
  <si>
    <t>1</t>
  </si>
  <si>
    <t>Formula — calculated, don't overwrite</t>
  </si>
  <si>
    <t>PMI contraction level</t>
  </si>
  <si>
    <t>Composite PMI ≤ this = −1.</t>
  </si>
  <si>
    <t>-1</t>
  </si>
  <si>
    <t>Linked — pulled from another sheet</t>
  </si>
  <si>
    <t>Bias, Compare, Risk &amp; Gold, Hub</t>
  </si>
  <si>
    <t>2Y yield move (bp, 1 month)</t>
  </si>
  <si>
    <t>Market repricing proxy. 2Y up ≥ this = +1 (hawkish repricing), down ≥ this = −1.</t>
  </si>
  <si>
    <t>Column header</t>
  </si>
  <si>
    <t>Table header</t>
  </si>
  <si>
    <t>Currency stance cut-off (score)</t>
  </si>
  <si>
    <t>Total ≥ +2 = HAWKISH, ≤ −2 = DOVISH, otherwise NEUTRAL.</t>
  </si>
  <si>
    <t>Fed ↗</t>
  </si>
  <si>
    <t>Hyperlink — opens a website or sheet</t>
  </si>
  <si>
    <t>Hub, this sheet</t>
  </si>
  <si>
    <t>Pair score difference needed</t>
  </si>
  <si>
    <t>Base score minus quote score must be ≥ this for a LONG signal (≤ −this for SHORT).</t>
  </si>
  <si>
    <t>Help text</t>
  </si>
  <si>
    <t>Note / explanation — read only</t>
  </si>
  <si>
    <t>2Y differential confirmation (bp)</t>
  </si>
  <si>
    <t>The 2Y yield spread must have moved ≥ this in the same direction over 1 month, otherwise FLAT.</t>
  </si>
  <si>
    <t>⚠ Warning</t>
  </si>
  <si>
    <t>Warning — check before relying on it</t>
  </si>
  <si>
    <t>Scorecard, Key Levels</t>
  </si>
  <si>
    <t>VIX calm level</t>
  </si>
  <si>
    <t>From investing Layer 3: VIX below this (and S&amp;P above 200-day) = RISK-ON.</t>
  </si>
  <si>
    <t>—</t>
  </si>
  <si>
    <t>Not applicable for this row</t>
  </si>
  <si>
    <t>Bias (gold row)</t>
  </si>
  <si>
    <t>VIX stress level</t>
  </si>
  <si>
    <t>From investing Layer 3: VIX above this = RISK-OFF.</t>
  </si>
  <si>
    <t>Give me a brief…</t>
  </si>
  <si>
    <t>Prompt — copy and paste into Claude</t>
  </si>
  <si>
    <t>Hub</t>
  </si>
  <si>
    <t>Real-yield move for gold (bp)</t>
  </si>
  <si>
    <t>US 10Y real yield down ≥ this over 1 month = +1 for gold; up ≥ this = −1.</t>
  </si>
  <si>
    <t>SIGNALS — colour changes by itself</t>
  </si>
  <si>
    <t>Dollar move for gold (%)</t>
  </si>
  <si>
    <t>Dollar index down ≥ this % over 1 month = +1 for gold; up ≥ this = −1.</t>
  </si>
  <si>
    <t>LONG</t>
  </si>
  <si>
    <t>Long / hawkish / supportive: LONG · HAWKISH · RISK-ON · ACTIVE · OK · BACKS THE CALL · STRONG · YES</t>
  </si>
  <si>
    <t>Bias, Compare, Scorecard, Risk &amp; Gold, Hub, Journal</t>
  </si>
  <si>
    <t>Gold score cut-off</t>
  </si>
  <si>
    <t>Gold total ≥ +2 = LONG, ≤ −2 = SHORT.</t>
  </si>
  <si>
    <t>Short / dovish / against: SHORT · DOVISH · RISK-OFF · EXPIRED · STALE · AGAINST · WEAK · NO</t>
  </si>
  <si>
    <t>Key level 'near' distance (%)</t>
  </si>
  <si>
    <t>Key Levels flags a level as NEAR when price is within this % of it.</t>
  </si>
  <si>
    <t>NOT REVIEWED</t>
  </si>
  <si>
    <t>Needs attention: ENTER DATA · NOT REVIEWED · NOT CHECKED · CAUTION · MIXED · PARTLY · MODERATE · NEAR · yields NO</t>
  </si>
  <si>
    <t>Every sheet except Guide</t>
  </si>
  <si>
    <t>Bias valid for (days)</t>
  </si>
  <si>
    <t>After this many days without review the bias shows EXPIRED — treat as FLAT.</t>
  </si>
  <si>
    <t>No edge — stand aside: FLAT · NEUTRAL</t>
  </si>
  <si>
    <t>Starting thresholds are Claude's suggestions, not tested values — tune them after journaling a few months.</t>
  </si>
  <si>
    <t>+1</t>
  </si>
  <si>
    <t>Score above zero (green) — supports the currency / gold</t>
  </si>
  <si>
    <t>Scorecard, Risk &amp; Gold</t>
  </si>
  <si>
    <t>−1</t>
  </si>
  <si>
    <t>Score below zero (red) — works against it</t>
  </si>
  <si>
    <t>DATA SOURCES</t>
  </si>
  <si>
    <t>■■■</t>
  </si>
  <si>
    <t>Bar: green = base currency wins this factor</t>
  </si>
  <si>
    <t>Compare</t>
  </si>
  <si>
    <t>Fixed sources</t>
  </si>
  <si>
    <t>Every input has ONE fixed source — see the Sources sheet ↗</t>
  </si>
  <si>
    <t>Bar: red = quote currency wins this factor</t>
  </si>
  <si>
    <t>US data</t>
  </si>
  <si>
    <t>FRED: core CPI, unemployment, 2Y, real yield, VIX, S&amp;P 500, HY spread</t>
  </si>
  <si>
    <t>KEY LEVEL TYPES</t>
  </si>
  <si>
    <t>EUR / GBP / JPY data</t>
  </si>
  <si>
    <t>Eurostat · ONS · Statistics Bureau of Japan · Bundesbank · Japan MoF</t>
  </si>
  <si>
    <t>Policy line</t>
  </si>
  <si>
    <t>Government / central bank acted here</t>
  </si>
  <si>
    <t>Key Levels</t>
  </si>
  <si>
    <t>PMIs + prices</t>
  </si>
  <si>
    <t>S&amp;P Global / HCOB final PMIs · TradingView (prices, 2Y yields, DXY, VIX, S&amp;P, barometer)</t>
  </si>
  <si>
    <t>Options / GEX</t>
  </si>
  <si>
    <t>Big option strikes or expiries</t>
  </si>
  <si>
    <t>Calendar</t>
  </si>
  <si>
    <t>Forex Factory weekly feed + Fed / ECB / BoE / BoJ calendars</t>
  </si>
  <si>
    <t>Structural</t>
  </si>
  <si>
    <t>Prior highs &amp; lows, round numbers</t>
  </si>
  <si>
    <t>Intraday: PDH/PDL, session ranges</t>
  </si>
  <si>
    <t>3</t>
  </si>
  <si>
    <t>Strength 3 = strongest level (bold red)</t>
  </si>
  <si>
    <t>SHEET TABS</t>
  </si>
  <si>
    <t>Navy tab</t>
  </si>
  <si>
    <t>guide, rules, legend</t>
  </si>
  <si>
    <t>Guide</t>
  </si>
  <si>
    <t>Green tab</t>
  </si>
  <si>
    <t>Reading with decisions</t>
  </si>
  <si>
    <t>Bias, Compare</t>
  </si>
  <si>
    <t>Blue tab</t>
  </si>
  <si>
    <t>Fill in weekly inputs</t>
  </si>
  <si>
    <t>Scorecard, Risk &amp; Gold, Key Levels, Hub, Journal</t>
  </si>
  <si>
    <t>Gold tab</t>
  </si>
  <si>
    <t>Open daily — the economic calendar</t>
  </si>
  <si>
    <t>Grey tab</t>
  </si>
  <si>
    <t>Reference — where each input comes from</t>
  </si>
  <si>
    <t>Sources, Update Log, Prompts</t>
  </si>
  <si>
    <t>CALENDAR</t>
  </si>
  <si>
    <t>High</t>
  </si>
  <si>
    <t>Impact column (Events) / high-impact day (month view)</t>
  </si>
  <si>
    <t>Calendar, Events</t>
  </si>
  <si>
    <t>Medium</t>
  </si>
  <si>
    <t>Medium impact (Events impact column)</t>
  </si>
  <si>
    <t>Holiday</t>
  </si>
  <si>
    <t>Bank holiday</t>
  </si>
  <si>
    <t>Today</t>
  </si>
  <si>
    <t>Today (Calendar + Events). Country and event-type colours: see the KEY on the Calendar sheet</t>
  </si>
  <si>
    <t>Claude</t>
  </si>
  <si>
    <t>Filled by: Claude updates these inputs</t>
  </si>
  <si>
    <t>Sources</t>
  </si>
  <si>
    <t>User</t>
  </si>
  <si>
    <t>Filled by: User — own judgement / notes</t>
  </si>
  <si>
    <t>Economic Calendar</t>
  </si>
  <si>
    <t>Open this every morning. Week view + four-month overview, fed by the Events sheet. Times are Amsterdam time (CET/CEST).</t>
  </si>
  <si>
    <t>TODAY</t>
  </si>
  <si>
    <t>Week to show (0 = this week, 1 = next, −1 = last)</t>
  </si>
  <si>
    <t>Show events</t>
  </si>
  <si>
    <t>High + Medium</t>
  </si>
  <si>
    <t>Week starting (Monday)</t>
  </si>
  <si>
    <t>Next high-impact event</t>
  </si>
  <si>
    <t>THIS WEEK</t>
  </si>
  <si>
    <t>MONTH AT A GLANCE</t>
  </si>
  <si>
    <t>#</t>
  </si>
  <si>
    <t>Mo</t>
  </si>
  <si>
    <t>Tu</t>
  </si>
  <si>
    <t>We</t>
  </si>
  <si>
    <t>Th</t>
  </si>
  <si>
    <t>Fr</t>
  </si>
  <si>
    <t>Sa</t>
  </si>
  <si>
    <t>Su</t>
  </si>
  <si>
    <t>●  high impact   ○  medium impact   ·   left tag = type of event, event colour = country   ·   yellow = today   ·   pick “All” above to add low-impact events; change the week number to look ahead.</t>
  </si>
  <si>
    <t>KEY</t>
  </si>
  <si>
    <t>COUNTRY — colour of the event</t>
  </si>
  <si>
    <t>TYPE — the tag in front</t>
  </si>
  <si>
    <t>IMPACT &amp; MARKERS</t>
  </si>
  <si>
    <t>USD</t>
  </si>
  <si>
    <t>United States — flag red</t>
  </si>
  <si>
    <t>CB</t>
  </si>
  <si>
    <t>Central-bank decision / press conference</t>
  </si>
  <si>
    <t>●</t>
  </si>
  <si>
    <t>High impact</t>
  </si>
  <si>
    <t>Months follow the week being viewed. Purple = central-bank decision · pink = other high-impact day · navy = today · blue = the week on the left.</t>
  </si>
  <si>
    <t>EUR</t>
  </si>
  <si>
    <t>Euro area — light EU blue</t>
  </si>
  <si>
    <t>SPK</t>
  </si>
  <si>
    <t>Central-bank speech, minutes, testimony</t>
  </si>
  <si>
    <t>○</t>
  </si>
  <si>
    <t>Medium impact</t>
  </si>
  <si>
    <t>GBP</t>
  </si>
  <si>
    <t>United Kingdom — navy</t>
  </si>
  <si>
    <t>GOV</t>
  </si>
  <si>
    <t>Government / Treasury: budget, auctions</t>
  </si>
  <si>
    <t>Today (empty slots) — gold header = today</t>
  </si>
  <si>
    <t>JPY</t>
  </si>
  <si>
    <t>Japan — white with the red sun</t>
  </si>
  <si>
    <t>INF</t>
  </si>
  <si>
    <t>Inflation: CPI, PPI, PCE, inflation expectations</t>
  </si>
  <si>
    <t>21</t>
  </si>
  <si>
    <t>Month view: central-bank decision day</t>
  </si>
  <si>
    <t>AUD</t>
  </si>
  <si>
    <t>Australia — orange</t>
  </si>
  <si>
    <t>JOB</t>
  </si>
  <si>
    <t>Jobs: payrolls, unemployment, claims</t>
  </si>
  <si>
    <t>Month view: other high-impact day</t>
  </si>
  <si>
    <t>NZD</t>
  </si>
  <si>
    <t>New Zealand — black (silver fern)</t>
  </si>
  <si>
    <t>BIZ</t>
  </si>
  <si>
    <t>Growth &amp; business: PMI, GDP, retail, sentiment</t>
  </si>
  <si>
    <t>Month view: today</t>
  </si>
  <si>
    <t>CAD</t>
  </si>
  <si>
    <t>Canada — light red (maple leaf)</t>
  </si>
  <si>
    <t>HOL</t>
  </si>
  <si>
    <t>Bank holiday — thin liquidity</t>
  </si>
  <si>
    <t>Month view: the week shown on the left</t>
  </si>
  <si>
    <t>CHF</t>
  </si>
  <si>
    <t>Switzerland — grey with the red cross</t>
  </si>
  <si>
    <t>CNY</t>
  </si>
  <si>
    <t>China — yellow star on red</t>
  </si>
  <si>
    <t>XAU</t>
  </si>
  <si>
    <t>Gold — gold</t>
  </si>
  <si>
    <t>Bias Board — Layer 1 permission</t>
  </si>
  <si>
    <t>FINAL BIAS = what Layers 2–4 are allowed to trade. FLAT or EXPIRED = no macro permission.</t>
  </si>
  <si>
    <t>Pair</t>
  </si>
  <si>
    <t>Base</t>
  </si>
  <si>
    <t>Quote</t>
  </si>
  <si>
    <t>Base score</t>
  </si>
  <si>
    <t>Quote score</t>
  </si>
  <si>
    <t>Score diff</t>
  </si>
  <si>
    <t>2Y spread now (bp)</t>
  </si>
  <si>
    <t>2Y spread 1M ago (bp)</t>
  </si>
  <si>
    <t>Δ 2Y spread (bp)</t>
  </si>
  <si>
    <t>Macro signal</t>
  </si>
  <si>
    <t>Yields confirm?</t>
  </si>
  <si>
    <t>Risk override</t>
  </si>
  <si>
    <t>FINAL BIAS</t>
  </si>
  <si>
    <t>Last reviewed</t>
  </si>
  <si>
    <t>Valid until</t>
  </si>
  <si>
    <t>Status</t>
  </si>
  <si>
    <t>Invalidation — what would flip it?</t>
  </si>
  <si>
    <t>AI bias</t>
  </si>
  <si>
    <t>User bias</t>
  </si>
  <si>
    <t>EURUSD</t>
  </si>
  <si>
    <t>EXAMPLE: FLAT until USD–EUR score gap reaches 2 and the 2Y spread confirms</t>
  </si>
  <si>
    <t>GBPUSD</t>
  </si>
  <si>
    <t>USDJPY</t>
  </si>
  <si>
    <t>Turns LONG if real yields fall ≥15 bp or dollar drops ≥1% (research stays +1). Turns SHORT if dollar rises ≥1% AND research drops to 0.</t>
  </si>
  <si>
    <t>HOW FINAL BIAS IS DECIDED</t>
  </si>
  <si>
    <t>1.  Score diff (base − quote) ≥ +2 → LONG signal, ≤ −2 → SHORT signal, else FLAT.</t>
  </si>
  <si>
    <t>2.  The 2Y yield spread must have moved the same way over the last month (≥ 10 bp), otherwise FLAT — the market has to confirm the thesis.</t>
  </si>
  <si>
    <t>3.  In RISK-OFF, any trade against JPY is overridden to FLAT.</t>
  </si>
  <si>
    <t>4.  Gold comes from the Risk &amp; Gold sheet.</t>
  </si>
  <si>
    <t>5.  Unreviewed for 7+ days = EXPIRED = treat as FLAT.</t>
  </si>
  <si>
    <t>Bias Builder</t>
  </si>
  <si>
    <t>What each central bank and treasury is saying, what the market prices, and the key numbers — then the AI read next to the User’s. Blue = Claude fills (prompts P4 + P7); “User read” rows and the User bias column are the User’s. Indicators in grey/green come from Scorecard and update themselves.</t>
  </si>
  <si>
    <t>AI BIAS vs MODEL vs USER</t>
  </si>
  <si>
    <t>Model bias (Bias sheet)</t>
  </si>
  <si>
    <t>AI bias (Claude)</t>
  </si>
  <si>
    <t>AI — key driver</t>
  </si>
  <si>
    <t>AI confidence</t>
  </si>
  <si>
    <t>Agreement</t>
  </si>
  <si>
    <t>Next high-impact catalyst</t>
  </si>
  <si>
    <t>Fed hike ~90% priced by Dec vs ECB hold on 29 Oct; US PMI 58.4 vs EZ 53.1; DXY +3%. Model is FLAT (score gap −1, 2Y spread confirms). Risk: EUR shorts at a 2020 high can squeeze.</t>
  </si>
  <si>
    <t>Both central banks hiking: BoE ~95% for 5 Nov vs Fed ~90% by Dec. Budget (28 Oct) and gilt stress are a two-way risk. Agrees with model FLAT.</t>
  </si>
  <si>
    <t>Low</t>
  </si>
  <si>
    <t>Rate gap wide (2Y spread ~286 bp) and BoJ pause expected for 30 Oct. But price 157.9 sits just under the 160 intervention line and speculators are net long yen — upside is capped. Model FLAT (score gap only +1).</t>
  </si>
  <si>
    <t>Real yields +26 bp, DXY +3%, price −2.6% on the month: drivers and price now agree. Matches model SHORT. Floor: CB buying ~170t YTD and the 4,000–4,065 zone.</t>
  </si>
  <si>
    <t>AI bias = Claude’s read of the evidence below, refreshed by prompt P7. It is one input, not a signal — the model bias and the User’s read still decide. Agreement: all three the same = green.</t>
  </si>
  <si>
    <t>COUNTRY BY COUNTRY</t>
  </si>
  <si>
    <t>USD  ·  United States  ·  Federal Reserve</t>
  </si>
  <si>
    <t>WHAT THEY'RE SAYING</t>
  </si>
  <si>
    <t>Indicator</t>
  </si>
  <si>
    <t>Now</t>
  </si>
  <si>
    <t>Before</t>
  </si>
  <si>
    <t>Change</t>
  </si>
  <si>
    <t>Last decision</t>
  </si>
  <si>
    <t>16 Sep 2026 — hiked 25 bp to 3.75–4.00% (first hike of the cycle)</t>
  </si>
  <si>
    <t>Policy rate (%)</t>
  </si>
  <si>
    <t>Vote</t>
  </si>
  <si>
    <t>12–0 unanimous</t>
  </si>
  <si>
    <t>Core CPI YoY (%)</t>
  </si>
  <si>
    <t>Central bank is saying</t>
  </si>
  <si>
    <t>Warsh (16 Sep): "Today's policy action will support a timelier return to the Committee's 2 percent goal." Williams (Oct): one more hike this year should be enough. Warsh speaks 16 Oct.</t>
  </si>
  <si>
    <t>Headline CPI YoY (%)</t>
  </si>
  <si>
    <t>Next meeting</t>
  </si>
  <si>
    <t>Unemployment (%)</t>
  </si>
  <si>
    <t>Market pricing — next meeting</t>
  </si>
  <si>
    <t>Oct 28: ≈32–50% hike (CME FedWatch, 14 Oct — jumped from 22% after the hot CPI; snapshots vary through the day)</t>
  </si>
  <si>
    <t>Wage growth YoY (%)</t>
  </si>
  <si>
    <t>Market pricing — further out</t>
  </si>
  <si>
    <t>≈90% at least one more hike by the 9 Dec meeting (CME FedWatch, 14 Oct). TD: Oct hike unlikely — 6 days before the 3 Nov midterms.</t>
  </si>
  <si>
    <t>GDP growth q/q (%)</t>
  </si>
  <si>
    <t>Treasury / government is saying</t>
  </si>
  <si>
    <t>Bessent backs Warsh but says core inflation is quiet and the pressure is energy-led headline. Treasury running bond buybacks to cap the 30Y (19-yr high). Japan cut UST holdings 3 months running (July TIC).</t>
  </si>
  <si>
    <t>Composite PMI</t>
  </si>
  <si>
    <t>Fiscal &amp; political calendar</t>
  </si>
  <si>
    <t>US midterms 3 Nov — FOMC decision lands 6 days before. Long-end yields at a 19-year high keep funding costs in focus.</t>
  </si>
  <si>
    <t>2Y yield (%)</t>
  </si>
  <si>
    <t>AI read (Claude)</t>
  </si>
  <si>
    <t>HAWKISH</t>
  </si>
  <si>
    <t>FOR: Sep CPI 3.7% (core 2.6%, both above forecast), PMI 58.4, December hike ~90% priced. AGAINST: 2Y only +12 bp in a month and wages cooling (3.0%) — an October pause before the midterms is possible.</t>
  </si>
  <si>
    <t>Real 2Y yield (2Y − core CPI)</t>
  </si>
  <si>
    <t>User read</t>
  </si>
  <si>
    <t>TOTAL score  →  stance</t>
  </si>
  <si>
    <t>EUR  ·  Euro area  ·  European Central Bank</t>
  </si>
  <si>
    <t>10 Sep 2026 — hiked 25 bp; deposit rate 2.50% (effective 16 Sep)</t>
  </si>
  <si>
    <t>Not published (ECB does not publish votes)</t>
  </si>
  <si>
    <t>Wunsch (14 Oct): "We are probably going to have to hike again" — but no bets given energy uncertainty. Lagarde: a "measured response".</t>
  </si>
  <si>
    <t>Oct 29: hold expected — Reuters poll (5–8 Oct) 70 of 73 see 2.50% unchanged</t>
  </si>
  <si>
    <t>December +25 bp is the poll's base case; BNY sees the ECB possibly done for the year unless gas prices spike.</t>
  </si>
  <si>
    <t>Germany 2027 draft budget: €555bn spending, record investment, €118.7bn net borrowing, defence €109.7bn — fiscal support for growth.</t>
  </si>
  <si>
    <t>EU leaders' summit 14–15 Oct. Political and fiscal turmoil in Europe drove the euro net short to a 2020 high (CFTC, 6 Oct).</t>
  </si>
  <si>
    <t>NEUTRAL</t>
  </si>
  <si>
    <t>FOR: core HICP turned up to 2.5%, headline 3.8%, PMI 53.1 (3½-yr high). AGAINST: October hike priced out, German 2Y −19 bp in a month and speculators heavily short EUR. Hawkish words, dovish pricing.</t>
  </si>
  <si>
    <t>GBP  ·  United Kingdom  ·  Bank of England</t>
  </si>
  <si>
    <t>17 Sep 2026 — held Bank Rate at 3.75%</t>
  </si>
  <si>
    <t>6–3 (three voted to hike to 4.00%)</t>
  </si>
  <si>
    <t>Bailey has hinted a rise is likely; Sep minutes said policy "may have to tighten" if the energy shock persists. Bailey speaks 15–17 Oct.</t>
  </si>
  <si>
    <t>Nov 5: ≈95% hike to 4.00% (SONIA OIS via BlueGamma, 15 Oct; was 81% early Oct). Reuters poll: 54 of 63 expect the hike.</t>
  </si>
  <si>
    <t>Four 25 bp hikes priced by end-2027; economists split on one more in Q1 2027. 2Y gilt 4.85%, flat on the month.</t>
  </si>
  <si>
    <t>Chancellor Healey: wants headroom to absorb shocks. Rising gilt yields cut the fiscal cushion by ~£12bn; UK borrowing costs highest in the G7.</t>
  </si>
  <si>
    <t>Autumn Budget expected 28 Oct (date from the 21 Sep run — not re-confirmed on 15 Oct) lands a week before the 5 Nov BoE decision. UK Sep CPI 21 Oct.</t>
  </si>
  <si>
    <t>FOR: a November hike is ~95% priced and widely forecast; headline CPI 3.1% and rising. AGAINST: it is fully in the price (2Y flat), GDP cooling (0.5% q/q) and Budget/gilt stress can hit sterling even with a hike.</t>
  </si>
  <si>
    <t>JPY  ·  Japan  ·  Bank of Japan</t>
  </si>
  <si>
    <t>18 Sep 2026 — hiked to 1.25% (31-year high)</t>
  </si>
  <si>
    <t>7–2 (Asada and Sato wanted to hold)</t>
  </si>
  <si>
    <t>Ueda (6 Oct): will keep raising rates as activity, prices and financial conditions warrant — no signal on timing. Reports say the BoJ leans to an October pause.</t>
  </si>
  <si>
    <t>Oct 30: ≈10% hike (OIS, per Futunn/BigGo reports ~13 Oct) — a pause is the base case</t>
  </si>
  <si>
    <t>≈88% for a hike by December. Ex-director Momma puts October at 20–30%. Outlook Report 30 Oct.</t>
  </si>
  <si>
    <t>No new intervention since the record ¥15.4tn (30 Jul–26 Aug). Reserves fell another $29.1bn in Sep to $1.178tn. 160–164 still the intervention zone.</t>
  </si>
  <si>
    <t>PM Takaichi favours expansionary fiscal policy and appointed the two dissenters — political pressure against fast hikes.</t>
  </si>
  <si>
    <t>FOR: Dec hike ~88% priced, wages strong, speculators net long yen (+62k, CFTC 6 Oct). AGAINST: core-core 1.9% under target, October pause expected, 2Y only +7 bp. Intervention caps yen weakness near 160.</t>
  </si>
  <si>
    <t>XAU  ·  Gold  ·  drivers from Risk &amp; Gold</t>
  </si>
  <si>
    <t>READ</t>
  </si>
  <si>
    <t>Driver</t>
  </si>
  <si>
    <t>1M ago</t>
  </si>
  <si>
    <t>DOVISH</t>
  </si>
  <si>
    <t>Drivers and price now agree: real yields +26 bp, DXY +3.0% and gold −2.6% on the month (4,264 → 4,151). Central-bank buying (+39t Aug) is the floor; managed money is cutting longs. AGAINST: ETF holdings at a 4-yr high.</t>
  </si>
  <si>
    <t>US 10Y real yield (%)</t>
  </si>
  <si>
    <t>Dollar index (DXY)</t>
  </si>
  <si>
    <t>Research score</t>
  </si>
  <si>
    <t>GOLD TOTAL  →  bias</t>
  </si>
  <si>
    <t>Stance words in the AI read: HAWKISH = supports the currency (for gold: supportive), DOVISH = weighs on it, NEUTRAL = no clear push. Numbers in grey/green come from Scorecard and Risk &amp; Gold; blue numbers (headline CPI, wages, GDP, previous rate) are filled by Claude — hover the indicator name to see which series.</t>
  </si>
  <si>
    <t>Pair Compare — side by side</t>
  </si>
  <si>
    <t>Pick any two currencies from the Scorecard. Every factor shows who wins and whether it backs the call.</t>
  </si>
  <si>
    <t>PICK THE PAIR</t>
  </si>
  <si>
    <t>Factor</t>
  </si>
  <si>
    <t>◀ base</t>
  </si>
  <si>
    <t>quote ▶</t>
  </si>
  <si>
    <t>Gap (base − quote)</t>
  </si>
  <si>
    <t>Winner</t>
  </si>
  <si>
    <t>Backs the call?</t>
  </si>
  <si>
    <t>What it measures</t>
  </si>
  <si>
    <t>Base currency</t>
  </si>
  <si>
    <t>Inflation score (−1…+1)</t>
  </si>
  <si>
    <t>Core CPI vs target and direction</t>
  </si>
  <si>
    <t>Quote currency</t>
  </si>
  <si>
    <t>Labour score (−1…+1)</t>
  </si>
  <si>
    <t>3-month change in unemployment</t>
  </si>
  <si>
    <t>Growth score (−1…+1)</t>
  </si>
  <si>
    <t>Direction from scores</t>
  </si>
  <si>
    <t>Pricing score (−1…+1)</t>
  </si>
  <si>
    <t>1-month move in 2Y yield = market repricing</t>
  </si>
  <si>
    <t>Final bias on Bias board</t>
  </si>
  <si>
    <t>Level — the carry edge</t>
  </si>
  <si>
    <t>Currency the call favours</t>
  </si>
  <si>
    <t>Real 2Y yield (%)</t>
  </si>
  <si>
    <t>2Y yield minus core CPI — inflation-adjusted return</t>
  </si>
  <si>
    <t>Where the central bank is now</t>
  </si>
  <si>
    <t>TOTAL SCORE</t>
  </si>
  <si>
    <t>DOES THE EVIDENCE BACK THE DIRECTION?</t>
  </si>
  <si>
    <t>Positive scores = hawkish pressure = supports that currency. Yield rows: 1 block ≈ 0.5 percentage point. Copy this sheet to keep several pairs open side by side.</t>
  </si>
  <si>
    <t>Scoreboard</t>
  </si>
  <si>
    <t>Verdict</t>
  </si>
  <si>
    <t>Strongest reason to own the base</t>
  </si>
  <si>
    <t>Strongest reason to own the quote</t>
  </si>
  <si>
    <t>why lean this way?</t>
  </si>
  <si>
    <t>EXAMPLE: USD repricing hawkishly while ECB is on hold; spread widening in USD's favour</t>
  </si>
  <si>
    <t>What keeps conviction down? (price not confirming, crowded positioning, catalyst ahead)</t>
  </si>
  <si>
    <t>EXAMPLE: EUR/USD not breaking structure yet; CPI next week</t>
  </si>
  <si>
    <t>Economic Events — the data behind the Calendar</t>
  </si>
  <si>
    <t>Claude refreshes this list every 2 days (prompt P1: Forex Factory weekly feed + central-bank calendars). The User can add rows anywhere; keep it sorted by Date, then Time. Type drives the tag colour on the Calendar.</t>
  </si>
  <si>
    <t>Time (CET)</t>
  </si>
  <si>
    <t>Ccy</t>
  </si>
  <si>
    <t>Impact</t>
  </si>
  <si>
    <t>Type</t>
  </si>
  <si>
    <t>Event</t>
  </si>
  <si>
    <t>Forecast</t>
  </si>
  <si>
    <t>Previous</t>
  </si>
  <si>
    <t>Actual</t>
  </si>
  <si>
    <t>User notes</t>
  </si>
  <si>
    <t>Rank</t>
  </si>
  <si>
    <t>Day slot</t>
  </si>
  <si>
    <t>Bank Holiday</t>
  </si>
  <si>
    <t>CB speech</t>
  </si>
  <si>
    <t>ECB President Lagarde Speaks</t>
  </si>
  <si>
    <t>RBA Gov Bullock Speaks</t>
  </si>
  <si>
    <t>Growth &amp; business</t>
  </si>
  <si>
    <t>French Flash Manufacturing PMI</t>
  </si>
  <si>
    <t>50.9</t>
  </si>
  <si>
    <t>51.5</t>
  </si>
  <si>
    <t>French Flash Services PMI</t>
  </si>
  <si>
    <t>48.4</t>
  </si>
  <si>
    <t>German Flash Manufacturing PMI</t>
  </si>
  <si>
    <t>54.0</t>
  </si>
  <si>
    <t>54.1</t>
  </si>
  <si>
    <t>German Flash Services PMI</t>
  </si>
  <si>
    <t>49.9</t>
  </si>
  <si>
    <t>48.5</t>
  </si>
  <si>
    <t>Flash Manufacturing PMI</t>
  </si>
  <si>
    <t>51.4</t>
  </si>
  <si>
    <t>Flash Services PMI</t>
  </si>
  <si>
    <t>52.0</t>
  </si>
  <si>
    <t>52.8</t>
  </si>
  <si>
    <t>Jobs</t>
  </si>
  <si>
    <t>Employment Change</t>
  </si>
  <si>
    <t>20.9K</t>
  </si>
  <si>
    <t>-15.8K</t>
  </si>
  <si>
    <t>Unemployment Rate</t>
  </si>
  <si>
    <t>4.5%</t>
  </si>
  <si>
    <t>Central bank</t>
  </si>
  <si>
    <t>SNB Monetary Policy Assessment</t>
  </si>
  <si>
    <t>SNB Policy Rate</t>
  </si>
  <si>
    <t>0.00%</t>
  </si>
  <si>
    <t>SNB Press Conference</t>
  </si>
  <si>
    <t>Unemployment Claims</t>
  </si>
  <si>
    <t>201K</t>
  </si>
  <si>
    <t>196K</t>
  </si>
  <si>
    <t>BOE Gov Bailey Speaks</t>
  </si>
  <si>
    <t>Revised UoM Consumer Sentiment</t>
  </si>
  <si>
    <t>47.5</t>
  </si>
  <si>
    <t>47.8</t>
  </si>
  <si>
    <t>Inflation</t>
  </si>
  <si>
    <t>Revised UoM Inflation Expectations</t>
  </si>
  <si>
    <t>4.6%</t>
  </si>
  <si>
    <t>Non-Farm Employment Change (Sep) + Unemployment Rate</t>
  </si>
  <si>
    <t>Unemp 4.2%</t>
  </si>
  <si>
    <t>Government</t>
  </si>
  <si>
    <t>EU Economic Summit</t>
  </si>
  <si>
    <t>Core CPI m/m</t>
  </si>
  <si>
    <t>0.2%</t>
  </si>
  <si>
    <t>0.3%</t>
  </si>
  <si>
    <t>Core CPI y/y</t>
  </si>
  <si>
    <t>2.5%</t>
  </si>
  <si>
    <t>2.4%</t>
  </si>
  <si>
    <t>2.6%</t>
  </si>
  <si>
    <t>CPI m/m</t>
  </si>
  <si>
    <t>0.6%</t>
  </si>
  <si>
    <t>0.4%</t>
  </si>
  <si>
    <t>CPI y/y</t>
  </si>
  <si>
    <t>3.6%</t>
  </si>
  <si>
    <t>3.4%</t>
  </si>
  <si>
    <t>3.7%</t>
  </si>
  <si>
    <t>19.6K</t>
  </si>
  <si>
    <t>39.5K</t>
  </si>
  <si>
    <t>GDP m/m</t>
  </si>
  <si>
    <t>-0.1%</t>
  </si>
  <si>
    <t>Core PPI m/m</t>
  </si>
  <si>
    <t>Core Retail Sales m/m</t>
  </si>
  <si>
    <t>1.4%</t>
  </si>
  <si>
    <t>PPI m/m</t>
  </si>
  <si>
    <t>Retail Sales m/m</t>
  </si>
  <si>
    <t>1.2%</t>
  </si>
  <si>
    <t>Philly Fed Manufacturing Index</t>
  </si>
  <si>
    <t>28.2</t>
  </si>
  <si>
    <t>37.8</t>
  </si>
  <si>
    <t>199K</t>
  </si>
  <si>
    <t>197K</t>
  </si>
  <si>
    <t>Fed Chairman Warsh Speaks</t>
  </si>
  <si>
    <t>FOMC rate decision + press conference</t>
  </si>
  <si>
    <t>ECB rate decision + press conference</t>
  </si>
  <si>
    <t>BoJ rate decision (no fixed time — usually 04:00–06:00)</t>
  </si>
  <si>
    <t>BoE rate decision + Monetary Policy Report</t>
  </si>
  <si>
    <t>Non-Farm Employment Change (Oct) + Unemployment Rate</t>
  </si>
  <si>
    <t>CPI (Oct)</t>
  </si>
  <si>
    <t>Non-Farm Employment Change (Nov) + Unemployment Rate</t>
  </si>
  <si>
    <t>FOMC rate decision + projections (SEP)</t>
  </si>
  <si>
    <t>CPI (Nov)</t>
  </si>
  <si>
    <t>BoE rate decision</t>
  </si>
  <si>
    <t>ECB rate decision + projections</t>
  </si>
  <si>
    <t>BoJ rate decision + Outlook (no fixed time)</t>
  </si>
  <si>
    <t>Currency Scorecard</t>
  </si>
  <si>
    <t>LIVE DATA as of 15 Oct 2026 — market inputs from TradingView, macro stats from official sources (Sources sheet). AUD, NZD, CAD, CHF not filled (User doesn't trade them yet).</t>
  </si>
  <si>
    <t>Currency</t>
  </si>
  <si>
    <t>Core CPI 3M ago (%)</t>
  </si>
  <si>
    <t>Inflation target (%)</t>
  </si>
  <si>
    <t>Unemployment 3M ago (%)</t>
  </si>
  <si>
    <t>2Y yield 1M ago (%)</t>
  </si>
  <si>
    <t>Inflation score</t>
  </si>
  <si>
    <t>Labour score</t>
  </si>
  <si>
    <t>Growth score</t>
  </si>
  <si>
    <t>Pricing score (2Y)</t>
  </si>
  <si>
    <t>TOTAL</t>
  </si>
  <si>
    <t>STANCE</t>
  </si>
  <si>
    <t>Notes — what would change it?</t>
  </si>
  <si>
    <t>Fed</t>
  </si>
  <si>
    <t>Sep CPI hot (3.7% headline, core 2.57% and rising) flips inflation to +1; PMI 58.4 = 5-yr high. 2Y +12 bp (&lt;15) so pricing score 0 — a 2Y close above ~4.82 flips it back to +1. Labour now 0 (4.2% both).</t>
  </si>
  <si>
    <t>ECB</t>
  </si>
  <si>
    <t>Core HICP turned up (2.5% from 2.4%) = +1; PMI 53.1 = 3½-yr high. But German 2Y −19 bp as Oct hike priced out (Reuters poll: hold 29 Oct, hike Dec) = −1. A Dec hike signal from Lagarde lifts the 2Y and the total.</t>
  </si>
  <si>
    <t>BoE</t>
  </si>
  <si>
    <t>Nov 5 hike ~95% priced (OIS) yet 2Y flat (−5 bp) — already in the price, pricing score 0. Sep CPI (21 Oct) above 3.1% or Budget (28 Oct) gilt stress would move it.</t>
  </si>
  <si>
    <t>BoJ</t>
  </si>
  <si>
    <t>2Y only +7 bp (&lt;15) as Oct hike odds fell to ~10% (Dec ~88%) → pricing 0, stance drops to NEUTRAL. Core-core 1.9% still under 2%. Sep CPI (~23 Oct) ≥2.0% or a hawkish Ueda flips it back.</t>
  </si>
  <si>
    <t>RBA</t>
  </si>
  <si>
    <t>RBNZ</t>
  </si>
  <si>
    <t>BoC</t>
  </si>
  <si>
    <t>SNB</t>
  </si>
  <si>
    <t>Risk Regime &amp; Gold</t>
  </si>
  <si>
    <t>LIVE DATA as of 15 Oct 2026 — VIX, S&amp;P, DXY from TradingView; real yield from FRED. Re-check weekly.</t>
  </si>
  <si>
    <t>RISK REGIME (borrowed from the User’s investing Layer 3 VIX rules)</t>
  </si>
  <si>
    <t>VIX</t>
  </si>
  <si>
    <t>VIX &lt; calm level (Guide) and S&amp;P above its 200-day = RISK-ON</t>
  </si>
  <si>
    <t>S&amp;P 500 close</t>
  </si>
  <si>
    <t>VIX &gt; stress level = RISK-OFF</t>
  </si>
  <si>
    <t>S&amp;P 500 200-day average</t>
  </si>
  <si>
    <t>Anything in between = CAUTION</t>
  </si>
  <si>
    <t>REGIME</t>
  </si>
  <si>
    <t>RISK-OFF: no trades against JPY/safe havens · CAUTION: size down / A+ only · RISK-ON: normal</t>
  </si>
  <si>
    <t>GOLD DRIVERS</t>
  </si>
  <si>
    <t>1 month ago</t>
  </si>
  <si>
    <t>Notes</t>
  </si>
  <si>
    <t>US 10Y real yield (%)  — FRED DFII10</t>
  </si>
  <si>
    <t>Real yield up 26 bp in a month (2.62 → 2.88, 13 Oct) after the hot Sep CPI revived Fed hike bets — strong headwind for gold.</t>
  </si>
  <si>
    <t>Dollar index — ICE DXY (use the SAME series for both cells)</t>
  </si>
  <si>
    <t>DXY +2.64% on the month (99.48 → 102.11, TradingView TVC:DXY) — Fed repricing and a record EUR net short. Headwind.</t>
  </si>
  <si>
    <t>Risk-off adds safe-haven demand</t>
  </si>
  <si>
    <t>Research (CB buying, geopolitics, ETF flows)</t>
  </si>
  <si>
    <t>Research score 0 kept (User's call). Claude draft 15 Oct: WGC — central banks +39t in Aug (China, Uzbekistan, Poland), ~170t YTD: floor intact. CFTC week to 6 Oct: managed-money gold net long −8% to a 3-month low (115k). ETF holdings at a 4-yr high. Net: still 0.</t>
  </si>
  <si>
    <t>GOLD TOTAL</t>
  </si>
  <si>
    <t>GOLD BIAS</t>
  </si>
  <si>
    <t>Key Levels — where big players have shown their hand</t>
  </si>
  <si>
    <t>⚠ Levels marked 'verify' come from memory or an older note — check them on the chart before relying on them.</t>
  </si>
  <si>
    <t>CURRENT PRICES (update weekly)</t>
  </si>
  <si>
    <t>HOW EACH TYPE BEHAVES</t>
  </si>
  <si>
    <t>Price</t>
  </si>
  <si>
    <t>Updated</t>
  </si>
  <si>
    <t>How it behaves</t>
  </si>
  <si>
    <t>A government/central bank acted here. Don't hold positions into it; they react to SPEED of the move, not just the number. Caps a trend, rarely reverses it.</t>
  </si>
  <si>
    <t>Big strikes or expiries. Pin price near expiry (positive gamma) or accelerate moves (negative gamma). Only valid until the expiry date.</t>
  </si>
  <si>
    <t>Prior-year/all-time highs &amp; lows, round numbers. Stops cluster here → expect a sweep; trade the rejection, not the break.</t>
  </si>
  <si>
    <t>PDH/PDL, Asia/London range. Intraday only — refresh daily.</t>
  </si>
  <si>
    <t>NAS100</t>
  </si>
  <si>
    <t>Level</t>
  </si>
  <si>
    <t>Zone other edge</t>
  </si>
  <si>
    <t>Strength (1–3)</t>
  </si>
  <si>
    <t>What happened here</t>
  </si>
  <si>
    <t>Source</t>
  </si>
  <si>
    <t>Date set</t>
  </si>
  <si>
    <t>Last tested</t>
  </si>
  <si>
    <t>Reaction when tested</t>
  </si>
  <si>
    <t>Distance (%)</t>
  </si>
  <si>
    <t>Japan (joined by the US) bought yen after USD/JPY crossed 163 and neared 164</t>
  </si>
  <si>
    <t>CNBC / Wikipedia, Aug 2026</t>
  </si>
  <si>
    <t>Fell to ~155 within days</t>
  </si>
  <si>
    <t>July 2024 high, intervention followed</t>
  </si>
  <si>
    <t>Claude from memory — verify</t>
  </si>
  <si>
    <t>April 2024 high, intervention followed</t>
  </si>
  <si>
    <t>Widely cited political 'line in the sand'; MoF calls moves toward 160 disorderly</t>
  </si>
  <si>
    <t>OMFIF / CNBC, Aug 2026</t>
  </si>
  <si>
    <t>Post-intervention low; retested early September</t>
  </si>
  <si>
    <t>CNBC, Sep 2026</t>
  </si>
  <si>
    <t>Held (~155.28)</t>
  </si>
  <si>
    <t>October 2022 intervention high</t>
  </si>
  <si>
    <t>September 2022 first intervention</t>
  </si>
  <si>
    <t>All-time high</t>
  </si>
  <si>
    <t>User context doc (Jul 2026) — verify</t>
  </si>
  <si>
    <t>End-of-August close after a 13% monthly rally — September has pulled back from here</t>
  </si>
  <si>
    <t>World Gold Council, Aug 2026 commentary</t>
  </si>
  <si>
    <t>Weekly high, broke above 4,400 after the Fed hike</t>
  </si>
  <si>
    <t>Yahoo Finance, 18 Sep 2026</t>
  </si>
  <si>
    <t>Support zone at the near six-week low on Fed day (16 Sep)</t>
  </si>
  <si>
    <t>FX Leaders / Trading Economics, Sep 2026</t>
  </si>
  <si>
    <t>Held — rebounded ~2% next day</t>
  </si>
  <si>
    <t>Range floor attributed to central-bank buying (as of July)</t>
  </si>
  <si>
    <t>User context doc (Jul 2026) — re-verify, may be stale</t>
  </si>
  <si>
    <t>Hub — where to go for everything that doesn't live in this workbook</t>
  </si>
  <si>
    <t>Click a link, read, then write ONE line back here. The detail stays at the source; only the conclusion comes back. Claude refreshes sections A–C with prompts P2, P4 and P6.</t>
  </si>
  <si>
    <t>COUNTRY HUB</t>
  </si>
  <si>
    <t>Situation in one line</t>
  </si>
  <si>
    <t>Main theme / risk</t>
  </si>
  <si>
    <t>Last checked</t>
  </si>
  <si>
    <t>Data + calendar</t>
  </si>
  <si>
    <t>News</t>
  </si>
  <si>
    <t>Fed at 3.75–4.00%; Sep CPI 3.7% (core 2.6%) beat forecasts, PMI 58.4; hike odds ~30–50% for 28 Oct and ~90% by December.</t>
  </si>
  <si>
    <t>Hot inflation vs midterm timing — does Warsh hike on 28 Oct or wait for December?</t>
  </si>
  <si>
    <t>Trading Econ ↗</t>
  </si>
  <si>
    <t>News ↗</t>
  </si>
  <si>
    <t>ECB at 2.50%; core HICP up to 2.5%, headline 3.8%, PMI 53.1; markets and economists expect a hold on 29 Oct, hike in December.</t>
  </si>
  <si>
    <t>Hawkish talk (Wunsch) but October hike priced out; EUR speculative short at a 2020 high = squeeze risk.</t>
  </si>
  <si>
    <t>ECB ↗</t>
  </si>
  <si>
    <t>BoE at 3.75%; Nov 5 hike ~95% priced; headline CPI 3.1%, PMI 52.0, GDP slowing to 0.5% q/q.</t>
  </si>
  <si>
    <t>Budget (28 Oct) and gilt stress vs a near-certain November hike.</t>
  </si>
  <si>
    <t>BoE ↗</t>
  </si>
  <si>
    <t>BoJ at 1.25%; October hike odds ~10% (December ~88%); USD/JPY 157.9 just below the 160 line; no new intervention since August.</t>
  </si>
  <si>
    <t>Pause in October keeps the rate gap wide; 160–164 intervention zone caps the upside.</t>
  </si>
  <si>
    <t>BoJ ↗</t>
  </si>
  <si>
    <t>RBA ↗</t>
  </si>
  <si>
    <t>RBNZ ↗</t>
  </si>
  <si>
    <t>BoC ↗</t>
  </si>
  <si>
    <t>SNB ↗</t>
  </si>
  <si>
    <t>Only fill the currencies the User trades. STALE = more than 14 days since the last read-up.</t>
  </si>
  <si>
    <t>WHO HOLDS WHAT (governments, central banks and big positioning)</t>
  </si>
  <si>
    <t>What</t>
  </si>
  <si>
    <t>Why it matters</t>
  </si>
  <si>
    <t>What changed? (one line)</t>
  </si>
  <si>
    <t>Updates</t>
  </si>
  <si>
    <t>Foreign holders of US Treasuries (Japan, China, UK…)</t>
  </si>
  <si>
    <t>Big holders selling = pressure on US yields and the dollar. Japan selling can signal FX defence.</t>
  </si>
  <si>
    <t>July TIC: foreigners net SOLD $27.9bn of long-term US securities.</t>
  </si>
  <si>
    <t>Monthly</t>
  </si>
  <si>
    <t>US Treasury TIC ↗</t>
  </si>
  <si>
    <t>Central-bank gold reserves / buying</t>
  </si>
  <si>
    <t>The main support under gold. Slower buying weakens the floor in Key Levels.</t>
  </si>
  <si>
    <t>WGC: central banks +39t in August (China, Uzbekistan, Poland 8t); ~170t YTD — buying picked up again.</t>
  </si>
  <si>
    <t>World Gold Council ↗</t>
  </si>
  <si>
    <t>Reserve currency shares (USD, EUR, JPY…)</t>
  </si>
  <si>
    <t>Slow structural trend — is the world diversifying away from the dollar?</t>
  </si>
  <si>
    <t>COFER Q1 2026: USD share up to 57.1% (from 56.4%), EUR 20.0% — no move away from the dollar.</t>
  </si>
  <si>
    <t>Quarterly</t>
  </si>
  <si>
    <t>IMF COFER ↗</t>
  </si>
  <si>
    <t>Japan FX intervention amounts</t>
  </si>
  <si>
    <t>Confirms when and how much Japan acted → update USDJPY policy lines.</t>
  </si>
  <si>
    <t>MoF: no new intervention since the record ¥15.4tn (30 Jul–26 Aug). FX reserves −$29.1bn in Sep to $1.178tn.</t>
  </si>
  <si>
    <t>Japan MoF ↗</t>
  </si>
  <si>
    <t>Speculator positioning (CFTC COT)</t>
  </si>
  <si>
    <t>Not governments, but shows crowded trades that can snap back.</t>
  </si>
  <si>
    <t>Week to 6 Oct: yen net long +62k (up 6.9k); EUR net short ~99k = 2020 high; gold managed-money net long −8% to 115k (3-month low).</t>
  </si>
  <si>
    <t>Weekly (Fri)</t>
  </si>
  <si>
    <t>CFTC ↗</t>
  </si>
  <si>
    <t>WHERE IS MONEY MOVING? (risk-on vs risk-off barometer (weekly))</t>
  </si>
  <si>
    <t>Gauge</t>
  </si>
  <si>
    <t>Reads RISK-ON when…</t>
  </si>
  <si>
    <t>Read</t>
  </si>
  <si>
    <t>Where to check</t>
  </si>
  <si>
    <t>AUD/JPY</t>
  </si>
  <si>
    <t>Rising — money leaving the safe-haven yen for higher-yielding AUD</t>
  </si>
  <si>
    <t>TradingView ↗</t>
  </si>
  <si>
    <t>Copper ÷ gold</t>
  </si>
  <si>
    <t>Rising — growth metal beating the safe-haven metal. In TradingView type: HG1!/GC1!</t>
  </si>
  <si>
    <t>US high-yield credit spread</t>
  </si>
  <si>
    <t>Falling — lenders relaxed about risky borrowers (FRED BAMLH0A0HYM2)</t>
  </si>
  <si>
    <t>RISK-OFF</t>
  </si>
  <si>
    <t>FRED ↗</t>
  </si>
  <si>
    <t>Discretionary ÷ staples stocks</t>
  </si>
  <si>
    <t>Rising — investors buying 'wants' over 'needs'. In TradingView type: XLY/XLP</t>
  </si>
  <si>
    <t>Asset-class scoreboard</t>
  </si>
  <si>
    <t>Stocks &amp; commodities lead, bonds/gold/yen lag. Shows the week's leaders at a glance.</t>
  </si>
  <si>
    <t>Finviz futures ↗</t>
  </si>
  <si>
    <t>Sentiment</t>
  </si>
  <si>
    <t>Greed. (Extreme greed = crowded, watch for reversal.)</t>
  </si>
  <si>
    <t>CNN Fear &amp; Greed ↗</t>
  </si>
  <si>
    <t>Barometer result</t>
  </si>
  <si>
    <t>VIX regime (Risk &amp; Gold)</t>
  </si>
  <si>
    <t>Do they agree?</t>
  </si>
  <si>
    <t>D. PROMPTS</t>
  </si>
  <si>
    <t>All update prompts now live on the Prompts sheet ↗  —  P4 Country deep-dive, P2 Markets, P3 Scorecard stats, P5 Key levels, P6 Who holds what, P1 Events, P7 AI bias, P0 Full cycle.</t>
  </si>
  <si>
    <t>Sources — where every input comes from</t>
  </si>
  <si>
    <t>One fixed source per input, used every time, so week-on-week changes are like for like. “Filled by” says who updates each input: Claude (blue) or User (orange).</t>
  </si>
  <si>
    <t>Sheet</t>
  </si>
  <si>
    <t>Cells</t>
  </si>
  <si>
    <t>Input</t>
  </si>
  <si>
    <t>Filled by</t>
  </si>
  <si>
    <t>Fixed source</t>
  </si>
  <si>
    <t>Series / rule</t>
  </si>
  <si>
    <t>How often</t>
  </si>
  <si>
    <t>Scorecard</t>
  </si>
  <si>
    <t>C5:C12</t>
  </si>
  <si>
    <t>Central bank official statement</t>
  </si>
  <si>
    <t>Fed: upper bound of target range · ECB: deposit facility rate · BoE: Bank Rate · BoJ: short-term policy rate · RBA cash rate · RBNZ OCR · BoC overnight rate · SNB policy rate</t>
  </si>
  <si>
    <t>After each meeting</t>
  </si>
  <si>
    <t>D5:D12</t>
  </si>
  <si>
    <t>Formula</t>
  </si>
  <si>
    <t>Events sheet</t>
  </si>
  <si>
    <t>Next row with Type "Central bank" for that currency</t>
  </si>
  <si>
    <t>Automatic</t>
  </si>
  <si>
    <t>E5:F12</t>
  </si>
  <si>
    <t>Core CPI YoY now / 3M ago (%)</t>
  </si>
  <si>
    <t>US: BLS via FRED · EUR: Eurostat · GBP: ONS · JPY: Statistics Bureau of Japan</t>
  </si>
  <si>
    <t>US: CPILFESL % YoY · EUR: HICP excl. energy, food, alcohol &amp; tobacco (prc_hicp_minr) · GBP: CPI excl. energy, food, alcohol &amp; tobacco (DKO8) · JPY: CPI excl. fresh food &amp; energy ("core-core"). 3M ago = the month three months before the latest, as currently published</t>
  </si>
  <si>
    <t>Monthly, on release</t>
  </si>
  <si>
    <t>G5:G12</t>
  </si>
  <si>
    <t>Central bank mandate</t>
  </si>
  <si>
    <t>Band midpoint for RBA / RBNZ / SNB</t>
  </si>
  <si>
    <t>Check yearly</t>
  </si>
  <si>
    <t>H5:I12</t>
  </si>
  <si>
    <t>Unemployment now / 3M ago (%)</t>
  </si>
  <si>
    <t>US: BLS via FRED · EUR: Eurostat · GBP: ONS · JPY: Statistics Bureau</t>
  </si>
  <si>
    <t>US: UNRATE · EUR: une_rt_m euro area, SA · GBP: ILO rate 3-month avg (MGSX) · JPY: Labour Force Survey, SA</t>
  </si>
  <si>
    <t>J5:J12</t>
  </si>
  <si>
    <t>S&amp;P Global (US, UK, Japan) · HCOB (Eurozone)</t>
  </si>
  <si>
    <t>Composite Output Index, FINAL print (flash is ignored)</t>
  </si>
  <si>
    <t>Monthly, ~3rd working day</t>
  </si>
  <si>
    <t>K5:L12</t>
  </si>
  <si>
    <t>2Y yield now / 1M ago (%)</t>
  </si>
  <si>
    <t>TradingView</t>
  </si>
  <si>
    <t>TVC:US02Y · TVC:DE02Y (German 2Y) · TVC:GB02Y · TVC:JP02Y. 1M ago = TradingView close ÷ (1 + Perf.1M) — npm run tradingview</t>
  </si>
  <si>
    <t>Weekly</t>
  </si>
  <si>
    <t>S5:S12</t>
  </si>
  <si>
    <t>From the numbers + latest central-bank statement</t>
  </si>
  <si>
    <t>One line: which print would flip a score</t>
  </si>
  <si>
    <t>Risk &amp; Gold</t>
  </si>
  <si>
    <t>B5</t>
  </si>
  <si>
    <t>TVC:VIX, latest</t>
  </si>
  <si>
    <t>B6:B7</t>
  </si>
  <si>
    <t>S&amp;P 500 close / 200-day average</t>
  </si>
  <si>
    <t>SP:SPX latest close; 200-day = SMA200 (daily) on TradingView</t>
  </si>
  <si>
    <t>B13:C13</t>
  </si>
  <si>
    <t>US 10Y real yield now / 1M ago</t>
  </si>
  <si>
    <t>FRED</t>
  </si>
  <si>
    <t>DFII10</t>
  </si>
  <si>
    <t>B14:C14</t>
  </si>
  <si>
    <t>Dollar index now / 1M ago</t>
  </si>
  <si>
    <t>TVC:DXY (ICE US Dollar Index) — same series in both cells</t>
  </si>
  <si>
    <t>B16, F16</t>
  </si>
  <si>
    <t>Gold research score + note</t>
  </si>
  <si>
    <t>Claude drafts → User confirms</t>
  </si>
  <si>
    <t>World Gold Council · CFTC COT</t>
  </si>
  <si>
    <t>Central-bank buying, ETF flows, speculative positioning</t>
  </si>
  <si>
    <t>F13:F14</t>
  </si>
  <si>
    <t>Driver notes</t>
  </si>
  <si>
    <t>What moved and why, one line</t>
  </si>
  <si>
    <t>B6:C10</t>
  </si>
  <si>
    <t>Current prices + date</t>
  </si>
  <si>
    <t>TradingView (User’s Premium account for charts)</t>
  </si>
  <si>
    <t>FX:EURUSD · FX:GBPUSD · FX:USDJPY · OANDA:XAUUSD · NASDAQ:NDX (NAS100) — npm run tradingview</t>
  </si>
  <si>
    <t>Weekly / on request</t>
  </si>
  <si>
    <t>A13:J52</t>
  </si>
  <si>
    <t>Level rows</t>
  </si>
  <si>
    <t>Claude proposes → User curates</t>
  </si>
  <si>
    <t>TradingView chart history + news for policy lines</t>
  </si>
  <si>
    <t>Claude fills Last tested / Reaction; User decides what stays</t>
  </si>
  <si>
    <t>B6:D13</t>
  </si>
  <si>
    <t>Situation / theme / last checked</t>
  </si>
  <si>
    <t>Central-bank statements + data above</t>
  </si>
  <si>
    <t>Written by the country deep-dive prompt</t>
  </si>
  <si>
    <t>Weekly or after big events</t>
  </si>
  <si>
    <t>C18:D22</t>
  </si>
  <si>
    <t>Who holds what</t>
  </si>
  <si>
    <t>US Treasury TIC · World Gold Council · IMF COFER · Japan MoF · CFTC</t>
  </si>
  <si>
    <t>Latest release of each</t>
  </si>
  <si>
    <t>C26:C31</t>
  </si>
  <si>
    <t>Risk barometer reads</t>
  </si>
  <si>
    <t>TradingView · FRED (HY spread)</t>
  </si>
  <si>
    <t>Fixed rule, 1-month change: AUD/JPY (FX:AUDJPY) and XLY÷XLP (AMEX) and CPER÷GLD (AMEX) up &gt;1% = RISK-ON, down &gt;1% = RISK-OFF, else NEUTRAL · HY spread (BAMLH0A0HYM2) down ≥10 bp = RISK-ON, up ≥10 bp = RISK-OFF · Asset scoreboard: leader over 1 month · Sentiment: CNN Fear &amp; Greed ≥55 on, ≤45 off</t>
  </si>
  <si>
    <t>Events</t>
  </si>
  <si>
    <t>A5:I304</t>
  </si>
  <si>
    <t>Economic events</t>
  </si>
  <si>
    <t>Forex Factory weekly calendar feed + central-bank calendars (Fed, ECB, BoE, BoJ) + BLS schedule</t>
  </si>
  <si>
    <t>High impact (all currencies) + Medium (USD, EUR, GBP, JPY, CNY); times converted to Amsterdam time</t>
  </si>
  <si>
    <t>Weekly (Sunday)</t>
  </si>
  <si>
    <t>J5:J304</t>
  </si>
  <si>
    <t>My notes</t>
  </si>
  <si>
    <t>User’s take on an event</t>
  </si>
  <si>
    <t>Any time</t>
  </si>
  <si>
    <t>N5:N8, Q5:Q8</t>
  </si>
  <si>
    <t>Last reviewed + invalidation</t>
  </si>
  <si>
    <t>User’s judgement — Claude may suggest, never writes</t>
  </si>
  <si>
    <t>L4:L5, B20:B21</t>
  </si>
  <si>
    <t>Pair picked + User read</t>
  </si>
  <si>
    <t>When comparing</t>
  </si>
  <si>
    <t>Journal</t>
  </si>
  <si>
    <t>A5:K55, M5:AO205</t>
  </si>
  <si>
    <t>Bias journal + trade journal</t>
  </si>
  <si>
    <t>Claude can pre-fill Date / Instrument / Bias / Score / Regime if the User asks</t>
  </si>
  <si>
    <t>B20:B34</t>
  </si>
  <si>
    <t>Thresholds</t>
  </si>
  <si>
    <t>Tune after journaling a few months</t>
  </si>
  <si>
    <t>Rarely</t>
  </si>
  <si>
    <t>D6, H5</t>
  </si>
  <si>
    <t>View settings</t>
  </si>
  <si>
    <t>Impact filter and week number</t>
  </si>
  <si>
    <t>B–D (each block)</t>
  </si>
  <si>
    <t>Last decision, vote, what the CB says</t>
  </si>
  <si>
    <t>Central-bank statement + press conference</t>
  </si>
  <si>
    <t>Quote the key guidance line; vote split</t>
  </si>
  <si>
    <t>Market pricing</t>
  </si>
  <si>
    <t>CME FedWatch (USD) · €STR/ECB-dated OIS (EUR) · SONIA OIS (GBP) · TONA OIS (JPY)</t>
  </si>
  <si>
    <t>Probability for the next meeting + what is priced further out, with the as-of date</t>
  </si>
  <si>
    <t>Treasury / government + fiscal calendar</t>
  </si>
  <si>
    <t>US Treasury · German BMF / Eurogroup · HM Treasury / OBR · Japan MoF / Cabinet Office</t>
  </si>
  <si>
    <t>One line each; flag budgets and FX comments</t>
  </si>
  <si>
    <t>G–H (blue rows)</t>
  </si>
  <si>
    <t>Headline CPI, wages, GDP, previous policy rate</t>
  </si>
  <si>
    <t>US: FRED (CPIAUCSL, CES0500000003, A191RL1Q225SBEA) · EUR: Eurostat HICP + ECB wage tracker + namq_10_gdp · GBP: ONS D7G7, KAI9, IHYQ · JPY: Statistics Bureau, MHLW, Cabinet Office</t>
  </si>
  <si>
    <t>Latest vs 3 months earlier (GDP: latest vs previous quarter, q/q)</t>
  </si>
  <si>
    <t>C6:C9, G6:G9, B (AI read)</t>
  </si>
  <si>
    <t>AI bias + confidence + reasoning</t>
  </si>
  <si>
    <t>Everything on this sheet + Scorecard</t>
  </si>
  <si>
    <t>Written after each weekly update</t>
  </si>
  <si>
    <t>F6:F9, B (User read)</t>
  </si>
  <si>
    <t>User bias + notes</t>
  </si>
  <si>
    <t>User’s final call</t>
  </si>
  <si>
    <t>Update Log</t>
  </si>
  <si>
    <t>A5:G204</t>
  </si>
  <si>
    <t>Run log</t>
  </si>
  <si>
    <t>One row per run: prompt ID, changes old → new, flips, NOT UPDATED</t>
  </si>
  <si>
    <t>Every run</t>
  </si>
  <si>
    <t>H5:H204</t>
  </si>
  <si>
    <t>User check</t>
  </si>
  <si>
    <t>OK / Question / Revert after reading the run</t>
  </si>
  <si>
    <t>After each run</t>
  </si>
  <si>
    <t>Update Log — every run, newest at the top</t>
  </si>
  <si>
    <t>Claude adds one row per run (scheduled or on request). The User can add a row after editing inputs by hand.</t>
  </si>
  <si>
    <t>Run (Amsterdam)</t>
  </si>
  <si>
    <t>Prompt</t>
  </si>
  <si>
    <t>Run by</t>
  </si>
  <si>
    <t>Sheets touched</t>
  </si>
  <si>
    <t>Key changes (old → new)</t>
  </si>
  <si>
    <t>Stance / bias flips</t>
  </si>
  <si>
    <t>NOT UPDATED / flags</t>
  </si>
  <si>
    <t>P2 (source switch)</t>
  </si>
  <si>
    <t>Claude (on request)</t>
  </si>
  <si>
    <t>Scorecard, Risk &amp; Gold, Key Levels, Hub, Sources, Prompts, Guide</t>
  </si>
  <si>
    <t>Market source switched IBKR / Investing.com / FRED / Bundesbank / MoF → TradingView (scanner, npm run tradingview). US 2Y 4.79 → 4.75; US 2Y 1M ago 4.67 → 4.65; EUR 2Y 3.07 → 3.05; GBP 2Y 1M ago 4.9 → 4.92; JPY 2Y 1.93 → 1.9; JPY 2Y 1M ago 1.86 → 1.84; VIX 15.27 → 17.53; DXY 102.55 → 102.11; DXY 1M ago 99.61 → 99.48; USDJPY price 157.91 → 157.97; XAUUSD price 4150.8 → 4147.13; EURUSD price 1.1215 → 1.1211; GBPUSD price 1.3256 → 1.3248; NAS100 price None → 29950.82; Hub AUD/JPY RISK-OFF → NEUTRAL</t>
  </si>
  <si>
    <t>No score / stance / FINAL BIAS flips: pricing scores unchanged (US +10 bp, EUR −21 bp, GBP −8 bp, JPY +6 bp). Regime still RISK-ON but VIX 17.5 is just under the 18 calm level. Barometer AUD/JPY RISK-OFF → NEUTRAL.</t>
  </si>
  <si>
    <t>Kept on FRED: US 10Y real yield (DFII10) and HY spread — no TradingView equivalent. Macro stats stay on official sources (TradingView ECONOMICS definitions differ). NAS100 now filled. CNN Fear &amp; Greed still blocked.</t>
  </si>
  <si>
    <t>P0 (on request)</t>
  </si>
  <si>
    <t>Scorecard, Risk &amp; Gold, Key Levels, Hub, Events, Bias Builder, Journal (new trade journal), Guide, Sources</t>
  </si>
  <si>
    <t>US core CPI 2.45 → 2.57; US core CPI 3M ago 2.82 → 2.57; US unemp 4.1 → 4.2; US unemp 3M ago 4.3 → 4.2; US PMI 56 → 58.4; US 2Y 4.67 → 4.79; US 2Y 1M ago 4.19 → 4.67; EUR core HICP 2.4 → 2.5; EUR core 3M ago 2.6 → 2.4; EUR PMI 52 → 53.1; EUR 2Y 3.21 → 3.07; EUR 2Y 1M ago 2.8 → 3.26; UK PMI 52.5 → 52.0; UK 2Y 4.84 → 4.85; UK 2Y 1M ago 4.37 → 4.9; JP unemp 2.4 → 2.5; JP PMI 53.5 → 52.3; JP 2Y 1.87 → 1.93; JP 2Y 1M ago 1.7 → 1.86; VIX 14.81 → 15.27; S&amp;P 500 7650.5 → 7718.94; S&amp;P 200d 7183.05 → 7263.43; US 10Y real 2.61 → 2.88; US 10Y real 1M ago 2.44 → 2.62; DXY 100.32 → 102.55; DXY 1M ago 98.8 → 99.61; USDJPY price 157.41 → 157.91; XAUUSD price 4344.99 → 4150.8; EURUSD price 1.147 → 1.1215; GBPUSD price 1.3371 → 1.3256; US headline CPI 3.35 → 3.72; US headline CPI 3M ago 4.17 → 3.46; US wages 3.1 → 3.02; US wages 3M ago 3.3 → 3.38; EUR headline HICP 3.2 → 3.8; EUR headline 3M ago 3.2 → 2.8; UK GDP q/q 0.4 → 0.5; AI bias: EURUSD SHORT (kept), GBPUSD FLAT, USDJPY LONG (Low), XAUUSD FLAT → SHORT; AI reads: GBP confidence Medium → High, gold NEUTRAL → DOVISH; Hub C27 RISK-OFF → RISK-ON; Hub C28 NEUTRAL → RISK-OFF; Hub C29 NEUTRAL → RISK-OFF; Hub C30 RISK-OFF → RISK-ON; Events: +24 Forex Factory rows (12–17 Oct), generic 'CPI (Sep)' replaced by detail rows, Actuals filled for US CPI Sep and NFP Sep</t>
  </si>
  <si>
    <t>Scorecard: inflation score USD −1→+1, EUR −1→+1; pricing USD/GBP/JPY +1→0, EUR +1→−1; labour USD +1→0. Stances: JPY HAWKISH→NEUTRAL; USD/GBP HAWKISH, EUR NEUTRAL unchanged. FINAL BIAS unchanged: EURUSD/GBPUSD/USDJPY FLAT, gold SHORT. Risk regime RISK-ON (VIX 15.3, S&amp;P above 200d). AI gold bias FLAT→SHORT.</t>
  </si>
  <si>
    <t>NOT UPDATED: CNN Fear &amp; Greed (site blocked, Hub C31 kept); NAS100 price (no IBKR permission); TIC Aug and IMF COFER (no new release found); UK CPI/labour, Japan CPI, GDP (no new release since last run); Events beyond this week (FF next-week feed 404) and 4-month CB calendar not re-verified; UK Budget date 28 Oct not re-confirmed. Bias sheet N5/N8 last reviewed 19 Sep = EXPIRED — User review needed. Formulas not recalculated by LibreOffice (not installed) — recalculated by Excel on open.</t>
  </si>
  <si>
    <t>build</t>
  </si>
  <si>
    <t>Scorecard, Risk &amp; Gold, Key Levels, Hub, Events, Calendar, Bias Builder</t>
  </si>
  <si>
    <t>First live fill (21 Sep): Scorecard USD/EUR/GBP/JPY; VIX 14.81, S&amp;P 7,650.5 vs 200d 7,183; real yield 2.44 → 2.61; DXY 98.80 → 100.32; Events Sep–Dec; Bias Builder evidence + AI bias.</t>
  </si>
  <si>
    <t>Stances: USD, GBP, JPY HAWKISH, EUR NEUTRAL. EURUSD / GBPUSD / USDJPY FLAT; gold SHORT (model).</t>
  </si>
  <si>
    <t>Hub sentiment (CNN F&amp;G blocked); BoJ October pricing not verified; AUD/NZD/CAD/CHF empty; NAS100 price.</t>
  </si>
  <si>
    <t>Prompts — every update cycle, ready to copy or schedule</t>
  </si>
  <si>
    <t>P0 is the one to schedule (every 2 days). P1–P9 run on their own when the User wants one part refreshed. Replace [CURRENCY] / [EVENT] before running. Claude follows the UPDATE RULES below on every run.</t>
  </si>
  <si>
    <t>UPDATE RULES (apply to every prompt)</t>
  </si>
  <si>
    <t>Work on the newest Macro_Tracker_v*.xlsx in OneDrive › Desktop › Trading System. If it is open/locked in Excel, do NOT overwrite it: stop and report the planned changes instead.</t>
  </si>
  <si>
    <t>Back up first: copy it to backups/&lt;file&gt;_backup_&lt;YYYY-MM-DD_HHMM&gt;_&lt;prompt ID&gt;.xlsx.</t>
  </si>
  <si>
    <t>Write ONLY cells whose Sources row says “Claude” (blue input cells). Never write cells marked “User”: Bias N/Q, User bias, User read, Compare, Journal, Guide thresholds, Events “User notes”, Calendar settings. “Claude drafts → User confirms” cells: put the draft in the note cell and leave the value unless it is empty.</t>
  </si>
  <si>
    <t>Use ONLY the fixed source listed on the Sources sheet for each input. If a source is down or a number cannot be verified, keep the old value and log it as “NOT UPDATED — reason”. Never estimate or fill from memory.</t>
  </si>
  <si>
    <t>Units: percentages as plain numbers (3.1 = 3.1%); yields in %; dates as real dates, never =TODAY(). Never type into grey or green cells — they are formulas.</t>
  </si>
  <si>
    <t>Keep all formulas, formatting, colours and layout. Only the Events table and the Key Levels table may gain rows. Keep Events sorted by Date, then Time; never delete a row that has User notes.</t>
  </si>
  <si>
    <t>Times in Amsterdam time (CET/CEST).</t>
  </si>
  <si>
    <t>After writing: recalculate, confirm zero formula errors, and update the “LIVE DATA as of …” line on every sheet touched.</t>
  </si>
  <si>
    <t>Log the run: add one row to the Update Log sheet (date/time, prompt ID, run by, sheets touched, key changes old → new, stance/bias flips, anything NOT UPDATED). End the reply with the same summary.</t>
  </si>
  <si>
    <t>Anything written into the workbook refers to the human as “User” (never “you”). The AI is “Claude”.</t>
  </si>
  <si>
    <t>PROMPTS</t>
  </si>
  <si>
    <t>ID</t>
  </si>
  <si>
    <t>Update cycle</t>
  </si>
  <si>
    <t>What it updates</t>
  </si>
  <si>
    <t>Prompt — copy this whole cell</t>
  </si>
  <si>
    <t>P0</t>
  </si>
  <si>
    <t>FULL CYCLE (scheduled)</t>
  </si>
  <si>
    <t>Every 2 days, 07:00 Amsterdam. Also on demand.</t>
  </si>
  <si>
    <t>Everything below, in order. P5 only on Sundays, P6 only on the first run of the month.</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</si>
  <si>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Run the Macro Tracker FULL CYCLE for today. Do these prompts from the Prompts sheet in this order, as one run with one backup and one Update Log row: (1) P1 Events; (2) P2 Markets; (3) P3 Macro data — only for indicators with a new release since the last Update Log row; (4) P4 Country deep-dive for every currency that had a central-bank decision, central-bank speech, budget or tier-1 release since the last run, or whose Hub “Last checked” is older than 7 days; (5) if today is Sunday, P5 Key levels; (6) if this is the first run this month, P6 Who holds what; (7) P7 AI bias — always last. Finish with a 5-line summary: what changed, which Scorecard stances or FINAL BIAS values flipped, where the AI bias now disagrees with the model or the User bias, the next 3 high-impact events, and anything NOT UPDATED.</t>
  </si>
  <si>
    <t>P1</t>
  </si>
  <si>
    <t>EVENTS &amp; CALENDAR</t>
  </si>
  <si>
    <t>Inside P0 (every 2 days). Manually: Sunday evening.</t>
  </si>
  <si>
    <t>Events!A:I (never J = User notes). Calendar updates itself.</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</si>
  <si>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Update the Events sheet. 1) Download the Forex Factory weekly feed (nfs.faireconomy.media/ff_calendar_thisweek.json, and ff_calendar_nextweek.json when it exists). 2) Keep: every High-impact event; Medium-impact for USD, EUR, GBP, JPY, CNY; bank holidays for USD, EUR, GBP, JPY. Convert times to Amsterdam time. 3) Set Type with the calendar key: Central bank (decisions/press conferences), CB speech (central-bank speakers, minutes), Government (budgets, auctions, treasury, finance ministers), Inflation, Jobs, Growth &amp; business, Holiday. 4) Make sure the next 4 months of Fed, ECB, BoE and BoJ decisions, US CPI and jobs dates (BLS schedule) and national budgets are listed (official calendars). 5) For events that already happened, fill Actual from the official release. 6) Remove duplicates; delete Claude rows older than 30 days unless they have User notes; keep the table sorted. Log: events added / updated / removed.</t>
  </si>
  <si>
    <t>P2</t>
  </si>
  <si>
    <t>MARKETS (prices, yields, risk)</t>
  </si>
  <si>
    <t>Inside P0 (every 2 days).</t>
  </si>
  <si>
    <t>Risk &amp; Gold B5:B7, B13:C14, F13:F14 · Scorecard K5:L12 · Key Levels B6:C10 · Hub C26:C31.</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</si>
  <si>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Update the market inputs. First run `npm run tradingview` in the Trading System folder — it writes data/tradingview/&lt;date&gt;.json with every price, 1-month value, 200-day SMA and barometer read used below. Risk &amp; Gold: VIX (TradingView TVC:VIX), S&amp;P 500 close and 200-day SMA (TradingView SP:SPX), US 10Y real yield now and ~1 month ago (FRED DFII10), ICE DXY now and ~1 month ago (TradingView TVC:DXY, same series in both cells); rewrite the F13/F14 driver notes in one line each. Scorecard 2Y yield now and 1 month ago for every currency row that has data (TradingView TVC:US02Y, TVC:DE02Y, TVC:GB02Y, TVC:JP02Y); “1 month ago” = derived from TradingView Perf.1M. Key Levels: current price + today’s date for every instrument in A6:A10 (TradingView). Hub risk barometer C26:C31 using the fixed rules on the Sources sheet (1-month change: AUD/JPY, CPER÷GLD, XLY÷XLP, HY spread, asset leader, CNN Fear &amp; Greed). Log old → new for each number and any Scorecard pricing-score, risk-regime or gold-bias flip.</t>
  </si>
  <si>
    <t>P3</t>
  </si>
  <si>
    <t>MACRO DATA (Scorecard stats)</t>
  </si>
  <si>
    <t>Inside P0 when a release happened. Manually after CPI / jobs / PMI / GDP.</t>
  </si>
  <si>
    <t>Scorecard C, E:J, S · Bias Builder blue indicator cells (headline CPI, wages, GDP, previous policy rate).</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</si>
  <si>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Update the macro statistics for USD, EUR, GBP, JPY (and any other Scorecard row the User has started filling). Only change a number if a NEW official release came out. Scorecard: policy rate (after a decision), core CPI YoY now + the month 3 months earlier, unemployment now + 3 months earlier, composite PMI FINAL print — using the exact series on the Sources sheet (US FRED; Eurostat; ONS; Statistics Bureau of Japan core-core; S&amp;P Global / HCOB). Bias Builder: headline CPI now + 3 months earlier, wage growth, GDP q/q latest + previous quarter, previous policy rate after a decision. If a currency’s score or STANCE changes, rewrite its Scorecard Notes (S) in one line: which print would flip it next. Log each changed number old → new and every score / stance flip.</t>
  </si>
  <si>
    <t>P4</t>
  </si>
  <si>
    <t>COUNTRY DEEP-DIVE  [CURRENCY]</t>
  </si>
  <si>
    <t>On demand, and inside P0 after a central-bank or tier-1 event.</t>
  </si>
  <si>
    <t>Bias Builder block for that currency (narrative rows + AI read) · Hub row (situation, theme, last checked) · Scorecard S · new catalysts into Events.</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</si>
  <si>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Country deep-dive for [CURRENCY] as of today. Research with current sources: 1) the central bank’s last decision, vote split and the key guidance line (quote it); 2) latest inflation, jobs and growth prints vs expectations; 3) what the market prices for the next meeting and further out (probability + as-of date, from the source on the Sources sheet); 4) what the treasury / finance ministry / government is saying, plus fiscal and political events; 5) FX intervention and big official holders; 6) the next 3 catalysts with dates. Write it into the [CURRENCY] block on Bias Builder (Last decision, Vote, Central bank is saying, Market pricing next / further out, Treasury / government, Fiscal &amp; political calendar, AI read stance + confidence + one-paragraph reasoning), the Hub row (Situation in one line, Main theme / risk, Last checked = today) and Scorecard Notes. Add any missing catalysts to Events. In the reply: the full brief, then ONE line for the Hub and what would change the picture.</t>
  </si>
  <si>
    <t>P5</t>
  </si>
  <si>
    <t>KEY LEVELS REVIEW</t>
  </si>
  <si>
    <t>Sundays (inside P0). Manually before a trading week.</t>
  </si>
  <si>
    <t>Key Levels B6:C10, rows 13–52 (I “Last tested”, J “Reaction”, new proposed rows).</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</si>
  <si>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Review the Key Levels sheet. 1) Update current prices and dates (TradingView — npm run tradingview; daily history from the TradingView chart). 2) For every level, check the daily history since its “Last tested” date: if price traded within the NEAR distance on the Guide sheet, set Last tested to that date and describe the reaction in a few words (held / broke / swept and reversed). 3) For rows whose Source says “verify”, confirm the level from price history or an official source and replace “verify” with the source — or flag it. 4) Propose up to 3 new levels per instrument (policy lines, big option strikes/expiries, prior highs/lows) as new rows with Source “Claude proposal &lt;date&gt;”. Never delete or edit a row the User added or changed. Log levels tested, verified and proposed.</t>
  </si>
  <si>
    <t>P6</t>
  </si>
  <si>
    <t>WHO HOLDS WHAT</t>
  </si>
  <si>
    <t>Monthly (first P0 run of the month).</t>
  </si>
  <si>
    <t>Hub C18:D22.</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</si>
  <si>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Update Hub section B (Who holds what). For each row write one line “what changed” from the latest release and set Last checked to today: US Treasury TIC (foreign holdings / flows, Japan and China), World Gold Council central-bank gold statistics, IMF COFER reserve shares (quarterly — keep the old line if no new quarter), Japan MoF monthly FX intervention amounts, CFTC Commitments of Traders (speculative positioning in JPY, EUR, GBP, gold, USD). Log anything that changes the gold research score or a currency story.</t>
  </si>
  <si>
    <t>P7</t>
  </si>
  <si>
    <t>AI BIAS</t>
  </si>
  <si>
    <t>Always last in P0. Manually after any update.</t>
  </si>
  <si>
    <t>Bias Builder C6:C9, D6:D9, G6:G9 · AI read rows in every block (stance, confidence, reasoning) · gold AI read.</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</si>
  <si>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Refresh the AI bias on the Bias Builder sheet using only what is in the workbook now (Scorecard, Bias Builder blocks, Risk &amp; Gold, Key Levels, Events, Hub). For each currency block set the AI read stance (HAWKISH / NEUTRAL / DOVISH), confidence (High / Medium / Low) and a 2–3 sentence reasoning that names the strongest point FOR and AGAINST. For each pair set AI bias (LONG / SHORT / FLAT), the key driver in ≤2 lines and confidence; say explicitly when the AI bias disagrees with the model FINAL BIAS and why. Gold: AI read + reasoning from the Risk &amp; Gold drivers vs price. Never touch User bias or User read. Reply with a table: pair · model · AI · User · agreement · what would flip the AI bias.</t>
  </si>
  <si>
    <t>P8</t>
  </si>
  <si>
    <t>AFTER-EVENT UPDATE  [EVENT]</t>
  </si>
  <si>
    <t>Manually, right after a tier-1 release or a central-bank decision.</t>
  </si>
  <si>
    <t>Events Actual · affected Scorecard / Bias Builder numbers · that currency’s Bias Builder block · AI bias for affected pairs.</t>
  </si>
  <si>
    <t>Workbook: the newest Macro_Tracker_v*.xlsx in OneDrive › Desktop › Trading System (on the User’s computer; a copy may also live in the cloud later). Before starting, read the workbook’s Prompts sheet (UPDATE RULES) and Sources sheet (one fixed source per input + who fills each cell) and follow both exactly. After-event update for [EVENT, e.g. “US CPI Oct” or “BoE decision”]. 1) Fill Actual on the Events row (official release) and note forecast vs actual. 2) Update only the Scorecard / Bias Builder numbers this release changes (P3 rules). 3) If it was a central-bank decision or speech, rerun P4 for that currency. 4) Rerun P7 for the pairs that contain that currency. Reply in 5 lines: surprise vs forecast, what moved in the workbook, stance / bias flips, what the market did, next catalyst.</t>
  </si>
  <si>
    <t>P9</t>
  </si>
  <si>
    <t>WHAT CHANGED? (read-only)</t>
  </si>
  <si>
    <t>Any time.</t>
  </si>
  <si>
    <t>Nothing — read only.</t>
  </si>
  <si>
    <t>Workbook: the newest Macro_Tracker_v*.xlsx in OneDrive › Desktop › Trading System (on the User’s computer; a copy may also live in the cloud later). Read-only check of the Macro Tracker (do not write anything). Summarise: the last 3 Update Log rows; current FINAL BIAS, AI bias and User bias per pair and where they disagree; every Scorecard stance; the risk regime and barometer; any stale input (Hub Last checked &gt; 14 days, LIVE DATA stamps &gt; 3 days old, Bias status EXPIRED / NOT REVIEWED); and the high-impact events in the next 7 days from the Events sheet.</t>
  </si>
  <si>
    <t>SCHEDULING</t>
  </si>
  <si>
    <t>•  Schedule only P0. It already calls the others at the right frequency (P5 on Sundays, P6 monthly).</t>
  </si>
  <si>
    <t>•  Every 2 days at 07:00 Amsterdam (05:00 UTC in summer, 06:00 UTC in winter) gives fresh data before the London open.</t>
  </si>
  <si>
    <t>•  The workbook lives on the User’s computer, so a scheduled run needs that computer on and linked (or the workbook moved to cloud storage later).</t>
  </si>
  <si>
    <t>•  If Excel has the file open when a run starts, the run will not overwrite it — it reports the planned changes instead (rule 1). Close the workbook overnight.</t>
  </si>
  <si>
    <t>•  User can run any single prompt by copying it from column E (replace [CURRENCY] /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</si>
</sst>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0;0"/>
    <numFmt numFmtId="165" formatCode="\+0.00;\-0.00;0"/>
    <numFmt numFmtId="166" formatCode="0.0"/>
    <numFmt numFmtId="167" formatCode="#,##0.0"/>
    <numFmt numFmtId="168" formatCode="0&quot; bp&quot;;\-0&quot; bp&quot;"/>
    <numFmt numFmtId="169" formatCode="0.0\%;\-0.0\%"/>
    <numFmt numFmtId="170" formatCode="\+0.00;\-0.00;0.00"/>
    <numFmt numFmtId="172" formatCode="ddd\ d\-mmm\-yy"/>
    <numFmt numFmtId="173" formatCode="d\-mmm\ hh:mm"/>
    <numFmt numFmtId="174" formatCode="d"/>
    <numFmt numFmtId="175" formatCode="\+0&quot; bp&quot;;\-0&quot; bp&quot;;0&quot; bp&quot;"/>
    <numFmt numFmtId="176" formatCode="\+0.00&quot; pp&quot;;\-0.00&quot; pp&quot;;0.00&quot; pp&quot;"/>
    <numFmt numFmtId="177" formatCode="0&quot; bp&quot;"/>
    <numFmt numFmtId="178" formatCode="0.0&quot;%&quot;"/>
    <numFmt numFmtId="179" formatCode="ddd\ d\-mmm\-yy\ hh:mm"/>
    <numFmt numFmtId="180" formatCode="0.00;[Red]\-0.00"/>
    <numFmt numFmtId="181" formatCode="dddd\ d\ mmm"/>
    <numFmt numFmtId="182" formatCode="ddd\ d\ mmm\ yyyy"/>
    <numFmt numFmtId="183" formatCode="dddd\ d\ mmmm\ yyyy"/>
  </numFmts>
  <fonts count="116" x14ac:knownFonts="1">
    <font>
      <sz val="11"/>
      <color theme="1"/>
      <name val="Calibri"/>
      <family val="2"/>
      <charset val="1"/>
    </font>
    <font>
      <i/>
      <sz val="9"/>
      <color rgb="FF666666"/>
      <name val="Arial"/>
      <charset val="1"/>
    </font>
    <font>
      <sz val="10"/>
      <name val="Arial"/>
      <charset val="1"/>
    </font>
    <font>
      <sz val="10"/>
      <color rgb="FF0000FF"/>
      <name val="Arial"/>
      <charset val="1"/>
    </font>
    <font>
      <sz val="10"/>
      <color rgb="FF000000"/>
      <name val="Arial"/>
      <charset val="1"/>
    </font>
    <font>
      <sz val="10"/>
      <color rgb="FF008000"/>
      <name val="Arial"/>
      <charset val="1"/>
    </font>
    <font>
      <b/>
      <sz val="10"/>
      <color rgb="FFFFFFFF"/>
      <name val="Arial"/>
      <charset val="1"/>
    </font>
    <font>
      <sz val="9"/>
      <name val="Arial"/>
      <charset val="1"/>
    </font>
    <font>
      <b/>
      <sz val="10"/>
      <name val="Arial"/>
      <charset val="1"/>
    </font>
    <font>
      <sz val="11"/>
      <color rgb="FF999999"/>
      <name val="Arial"/>
      <charset val="1"/>
    </font>
    <font>
      <b/>
      <sz val="12"/>
      <color rgb="FF0000FF"/>
      <name val="Arial"/>
      <charset val="1"/>
    </font>
    <font>
      <sz val="11"/>
      <color rgb="FF2E7D32"/>
      <name val="Arial"/>
      <charset val="1"/>
    </font>
    <font>
      <sz val="11"/>
      <color rgb="FFC62828"/>
      <name val="Arial"/>
      <charset val="1"/>
    </font>
    <font>
      <u/>
      <sz val="10"/>
      <color rgb="FF0563C1"/>
      <name val="Arial"/>
      <charset val="1"/>
    </font>
    <font>
      <sz val="10"/>
      <color theme="1"/>
      <name val="Arial"/>
    </font>
    <font>
      <b/>
      <sz val="16"/>
      <color rgb="FFFFFFFF"/>
      <name val="Arial"/>
    </font>
    <font>
      <i/>
      <sz val="9"/>
      <color rgb="FF666666"/>
      <name val="Arial"/>
    </font>
    <font>
      <b/>
      <sz val="12"/>
      <color rgb="FF1F2A44"/>
      <name val="Arial"/>
    </font>
    <font>
      <sz val="10"/>
      <name val="Arial"/>
    </font>
    <font>
      <b/>
      <sz val="10"/>
      <color rgb="FFFFFFFF"/>
      <name val="Arial"/>
    </font>
    <font>
      <b/>
      <sz val="10"/>
      <name val="Arial"/>
    </font>
    <font>
      <b/>
      <u/>
      <sz val="10"/>
      <color rgb="FF0563C1"/>
      <name val="Arial"/>
    </font>
    <font>
      <b/>
      <sz val="9"/>
      <color rgb="FF1F2A44"/>
      <name val="Arial"/>
    </font>
    <font>
      <sz val="10"/>
      <color rgb="FF0000FF"/>
      <name val="Arial"/>
    </font>
    <font>
      <sz val="9"/>
      <color rgb="FF666666"/>
      <name val="Arial"/>
    </font>
    <font>
      <sz val="10"/>
      <color rgb="FF000000"/>
      <name val="Arial"/>
    </font>
    <font>
      <sz val="10"/>
      <color rgb="FF008000"/>
      <name val="Arial"/>
    </font>
    <font>
      <u/>
      <sz val="10"/>
      <color rgb="FF0563C1"/>
      <name val="Arial"/>
    </font>
    <font>
      <b/>
      <sz val="10"/>
      <color rgb="FFC00000"/>
      <name val="Arial"/>
    </font>
    <font>
      <sz val="10"/>
      <color rgb="FF999999"/>
      <name val="Arial"/>
    </font>
    <font>
      <i/>
      <sz val="10"/>
      <color rgb="FF404040"/>
      <name val="Arial"/>
    </font>
    <font>
      <b/>
      <sz val="10"/>
      <color rgb="FF006100"/>
      <name val="Arial"/>
    </font>
    <font>
      <b/>
      <sz val="10"/>
      <color rgb="FF9C0006"/>
      <name val="Arial"/>
    </font>
    <font>
      <b/>
      <sz val="10"/>
      <color rgb="FF9C5700"/>
      <name val="Arial"/>
    </font>
    <font>
      <b/>
      <sz val="10"/>
      <color rgb="FF595959"/>
      <name val="Arial"/>
    </font>
    <font>
      <sz val="10"/>
      <color rgb="FF2E7D32"/>
      <name val="Arial"/>
    </font>
    <font>
      <sz val="10"/>
      <color rgb="FFC62828"/>
      <name val="Arial"/>
    </font>
    <font>
      <b/>
      <sz val="10"/>
      <color rgb="FF5B2C83"/>
      <name val="Arial"/>
    </font>
    <font>
      <b/>
      <sz val="10"/>
      <color rgb="FF843C0C"/>
      <name val="Arial"/>
    </font>
    <font>
      <b/>
      <sz val="10"/>
      <color rgb="FF5C4326"/>
      <name val="Arial"/>
    </font>
    <font>
      <b/>
      <sz val="10"/>
      <color rgb="FF0E5C55"/>
      <name val="Arial"/>
    </font>
    <font>
      <u/>
      <sz val="9"/>
      <color rgb="FFFFFFFF"/>
      <name val="Arial"/>
    </font>
    <font>
      <b/>
      <sz val="10"/>
      <color theme="1"/>
      <name val="Arial"/>
    </font>
    <font>
      <b/>
      <i/>
      <sz val="9"/>
      <color rgb="FF666666"/>
      <name val="Arial"/>
    </font>
    <font>
      <b/>
      <sz val="10"/>
      <color rgb="FF1F2A44"/>
      <name val="Arial"/>
    </font>
    <font>
      <sz val="9"/>
      <color rgb="FF404040"/>
      <name val="Arial"/>
    </font>
    <font>
      <i/>
      <sz val="10"/>
      <color rgb="FF666666"/>
      <name val="Arial"/>
      <family val="2"/>
    </font>
    <font>
      <sz val="10"/>
      <color rgb="FF0000FF"/>
      <name val="Arial"/>
    </font>
    <font>
      <b/>
      <sz val="10"/>
      <color rgb="FF0000FF"/>
      <name val="Arial"/>
    </font>
    <font>
      <sz val="10"/>
      <color rgb="FF008000"/>
      <name val="Arial"/>
    </font>
    <font>
      <b/>
      <sz val="16"/>
      <color rgb="FFFFFFFF"/>
      <name val="Arial"/>
    </font>
    <font>
      <i/>
      <sz val="9"/>
      <color rgb="FF666666"/>
      <name val="Arial"/>
    </font>
    <font>
      <u/>
      <sz val="9"/>
      <color rgb="FFFFFFFF"/>
      <name val="Arial"/>
    </font>
    <font>
      <b/>
      <sz val="10"/>
      <color rgb="FFFFFFFF"/>
      <name val="Arial"/>
    </font>
    <font>
      <sz val="10"/>
      <color rgb="FF000000"/>
      <name val="Arial"/>
    </font>
    <font>
      <b/>
      <sz val="10"/>
      <color rgb="FF000000"/>
      <name val="Arial"/>
    </font>
    <font>
      <sz val="9"/>
      <name val="Arial"/>
    </font>
    <font>
      <b/>
      <sz val="9"/>
      <color rgb="FF1F2A44"/>
      <name val="Arial"/>
    </font>
    <font>
      <sz val="9"/>
      <color rgb="FF666666"/>
      <name val="Arial"/>
    </font>
    <font>
      <b/>
      <sz val="10"/>
      <color rgb="FF9C0006"/>
      <name val="Arial"/>
    </font>
    <font>
      <b/>
      <sz val="10"/>
      <color rgb="FF9C5700"/>
      <name val="Arial"/>
    </font>
    <font>
      <b/>
      <sz val="10"/>
      <color rgb="FF595959"/>
      <name val="Arial"/>
    </font>
    <font>
      <b/>
      <sz val="10"/>
      <color rgb="FF1F2A44"/>
      <name val="Arial"/>
    </font>
    <font>
      <b/>
      <sz val="10"/>
      <color rgb="FF843C0C"/>
      <name val="Arial"/>
    </font>
    <font>
      <u/>
      <sz val="10"/>
      <color rgb="FF0563C1"/>
      <name val="Arial"/>
    </font>
    <font>
      <b/>
      <i/>
      <sz val="9"/>
      <color rgb="FF006100"/>
      <name val="Arial"/>
    </font>
    <font>
      <b/>
      <sz val="16"/>
      <color rgb="FFFFFFFF"/>
      <name val="Arial"/>
    </font>
    <font>
      <i/>
      <sz val="9"/>
      <color rgb="FF666666"/>
      <name val="Arial"/>
    </font>
    <font>
      <u/>
      <sz val="9"/>
      <color rgb="FFFFFFFF"/>
      <name val="Arial"/>
    </font>
    <font>
      <b/>
      <sz val="12"/>
      <color rgb="FF1F2A44"/>
      <name val="Arial"/>
    </font>
    <font>
      <sz val="10"/>
      <color rgb="FF0000FF"/>
      <name val="Arial"/>
    </font>
    <font>
      <b/>
      <sz val="10"/>
      <color rgb="FFFFFFFF"/>
      <name val="Arial"/>
    </font>
    <font>
      <sz val="8"/>
      <color rgb="FFA6A6A6"/>
      <name val="Arial"/>
    </font>
    <font>
      <b/>
      <sz val="8"/>
      <name val="Arial"/>
    </font>
    <font>
      <b/>
      <sz val="9"/>
      <color rgb="FF1F2A44"/>
      <name val="Arial"/>
    </font>
    <font>
      <b/>
      <sz val="8"/>
      <color rgb="FFFFFFFF"/>
      <name val="Arial"/>
    </font>
    <font>
      <b/>
      <sz val="8"/>
      <color rgb="FFBC002D"/>
      <name val="Arial"/>
    </font>
    <font>
      <b/>
      <sz val="8"/>
      <color rgb="FF000000"/>
      <name val="Arial"/>
    </font>
    <font>
      <b/>
      <sz val="8"/>
      <color rgb="FF8B0000"/>
      <name val="Arial"/>
    </font>
    <font>
      <b/>
      <sz val="8"/>
      <color rgb="FFC00000"/>
      <name val="Arial"/>
    </font>
    <font>
      <b/>
      <sz val="8"/>
      <color rgb="FF5B2C83"/>
      <name val="Arial"/>
    </font>
    <font>
      <b/>
      <sz val="8"/>
      <color rgb="FF595959"/>
      <name val="Arial"/>
    </font>
    <font>
      <b/>
      <sz val="8"/>
      <color rgb="FF9C0006"/>
      <name val="Arial"/>
    </font>
    <font>
      <b/>
      <sz val="8"/>
      <color rgb="FF1F2A44"/>
      <name val="Arial"/>
    </font>
    <font>
      <b/>
      <sz val="10"/>
      <color rgb="FFBC002D"/>
      <name val="Arial"/>
    </font>
    <font>
      <b/>
      <sz val="10"/>
      <color rgb="FF000000"/>
      <name val="Arial"/>
    </font>
    <font>
      <b/>
      <sz val="10"/>
      <color rgb="FF8B0000"/>
      <name val="Arial"/>
    </font>
    <font>
      <b/>
      <sz val="10"/>
      <color rgb="FFC00000"/>
      <name val="Arial"/>
    </font>
    <font>
      <i/>
      <sz val="9"/>
      <color rgb="FF666666"/>
      <name val="Arial"/>
      <family val="2"/>
    </font>
    <font>
      <sz val="9"/>
      <color theme="1"/>
      <name val="Calibri"/>
      <family val="2"/>
      <charset val="1"/>
    </font>
    <font>
      <b/>
      <sz val="16"/>
      <color rgb="FFFFFFFF"/>
      <name val="Arial"/>
    </font>
    <font>
      <u/>
      <sz val="9"/>
      <color rgb="FFFFFFFF"/>
      <name val="Arial"/>
    </font>
    <font>
      <i/>
      <sz val="9"/>
      <color rgb="FF666666"/>
      <name val="Arial"/>
    </font>
    <font>
      <b/>
      <sz val="12"/>
      <color rgb="FF1F2A44"/>
      <name val="Arial"/>
    </font>
    <font>
      <b/>
      <sz val="10"/>
      <color rgb="FFFFFFFF"/>
      <name val="Arial"/>
    </font>
    <font>
      <b/>
      <sz val="11"/>
      <name val="Arial"/>
    </font>
    <font>
      <b/>
      <sz val="10"/>
      <color rgb="FF008000"/>
      <name val="Arial"/>
    </font>
    <font>
      <b/>
      <sz val="10"/>
      <color rgb="FF0000FF"/>
      <name val="Arial"/>
    </font>
    <font>
      <sz val="10"/>
      <color rgb="FF0000FF"/>
      <name val="Arial"/>
    </font>
    <font>
      <b/>
      <sz val="10"/>
      <color rgb="FF000000"/>
      <name val="Arial"/>
    </font>
    <font>
      <sz val="10"/>
      <color rgb="FF000000"/>
      <name val="Arial"/>
    </font>
    <font>
      <b/>
      <sz val="13"/>
      <color rgb="FFFFFFFF"/>
      <name val="Arial"/>
    </font>
    <font>
      <sz val="10"/>
      <color rgb="FF008000"/>
      <name val="Arial"/>
    </font>
    <font>
      <b/>
      <sz val="13"/>
      <color rgb="FFBC002D"/>
      <name val="Arial"/>
    </font>
    <font>
      <b/>
      <sz val="13"/>
      <color rgb="FF000000"/>
      <name val="Arial"/>
    </font>
    <font>
      <b/>
      <sz val="16"/>
      <color rgb="FFFFFFFF"/>
      <name val="Arial"/>
    </font>
    <font>
      <i/>
      <sz val="9"/>
      <color rgb="FF666666"/>
      <name val="Arial"/>
    </font>
    <font>
      <u/>
      <sz val="9"/>
      <color rgb="FFFFFFFF"/>
      <name val="Arial"/>
    </font>
    <font>
      <b/>
      <sz val="12"/>
      <color rgb="FF1F2A44"/>
      <name val="Arial"/>
    </font>
    <font>
      <b/>
      <sz val="10"/>
      <color rgb="FF1F2A44"/>
      <name val="Arial"/>
    </font>
    <font>
      <b/>
      <sz val="10"/>
      <color rgb="FFFFFFFF"/>
      <name val="Arial"/>
    </font>
    <font>
      <b/>
      <sz val="12"/>
      <color rgb="FFFFFFFF"/>
      <name val="Arial"/>
    </font>
    <font>
      <sz val="9"/>
      <color rgb="FF404040"/>
      <name val="Arial"/>
    </font>
    <font>
      <sz val="9"/>
      <color rgb="FF1F2A44"/>
      <name val="Consolas"/>
    </font>
    <font>
      <sz val="9"/>
      <color rgb="FF0000FF"/>
      <name val="Arial"/>
    </font>
    <font>
      <u/>
      <sz val="10"/>
      <color rgb="FF0563C1"/>
      <name val="Arial"/>
    </font>
  </fonts>
  <fills count="62">
    <fill>
      <patternFill patternType="none"/>
    </fill>
    <fill>
      <patternFill patternType="gray125"/>
    </fill>
    <fill>
      <patternFill patternType="solid">
        <fgColor rgb="FFDDEBF7"/>
        <bgColor indexed="64"/>
      </patternFill>
    </fill>
    <fill>
      <patternFill patternType="solid">
        <fgColor rgb="FFEDEDED"/>
        <bgColor indexed="64"/>
      </patternFill>
    </fill>
    <fill>
      <patternFill patternType="solid">
        <fgColor rgb="FF1F2A44"/>
      </patternFill>
    </fill>
    <fill>
      <patternFill patternType="solid">
        <fgColor rgb="FFDDEBF7"/>
      </patternFill>
    </fill>
    <fill>
      <patternFill patternType="solid">
        <fgColor rgb="FFEDEDED"/>
      </patternFill>
    </fill>
    <fill>
      <patternFill patternType="solid">
        <f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E8D5F5"/>
      </patternFill>
    </fill>
    <fill>
      <patternFill patternType="solid">
        <fgColor rgb="FFFCE4D6"/>
      </patternFill>
    </fill>
    <fill>
      <patternFill patternType="solid">
        <fgColor rgb="FFEFE6D5"/>
      </patternFill>
    </fill>
    <fill>
      <patternFill patternType="solid">
        <fgColor rgb="FFD5EEEC"/>
      </patternFill>
    </fill>
    <fill>
      <patternFill patternType="solid">
        <fgColor rgb="FF2E7D32"/>
      </patternFill>
    </fill>
    <fill>
      <patternFill patternType="solid">
        <fgColor rgb="FF4472C4"/>
      </patternFill>
    </fill>
    <fill>
      <patternFill patternType="solid">
        <fgColor rgb="FFDDEBF7"/>
      </patternFill>
    </fill>
    <fill>
      <patternFill patternType="solid">
        <fgColor rgb="FFEDEDED"/>
      </patternFill>
    </fill>
    <fill>
      <patternFill patternType="solid">
        <fgColor rgb="FF1F2A44"/>
      </patternFill>
    </fill>
    <fill>
      <patternFill patternType="solid">
        <fgColor rgb="FFBF8F00"/>
      </patternFill>
    </fill>
    <fill>
      <patternFill patternType="solid">
        <fgColor rgb="FF7F7F7F"/>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2CC"/>
      </patternFill>
    </fill>
    <fill>
      <patternFill patternType="solid">
        <fgColor rgb="FFFCE4D6"/>
      </patternFill>
    </fill>
    <fill>
      <patternFill patternType="solid">
        <fgColor rgb="FF1F2A44"/>
      </patternFill>
    </fill>
    <fill>
      <patternFill patternType="solid">
        <fgColor rgb="FFEDEDED"/>
      </patternFill>
    </fill>
    <fill>
      <patternFill patternType="solid">
        <fgColor rgb="FFDDEBF7"/>
      </patternFill>
    </fill>
    <fill>
      <patternFill patternType="solid">
        <fgColor rgb="FFB22234"/>
      </patternFill>
    </fill>
    <fill>
      <patternFill patternType="solid">
        <fgColor rgb="FF5B9BD5"/>
      </patternFill>
    </fill>
    <fill>
      <patternFill patternType="solid">
        <fgColor rgb="FF012169"/>
      </patternFill>
    </fill>
    <fill>
      <patternFill patternType="solid">
        <fgColor rgb="FFFFFFFF"/>
      </patternFill>
    </fill>
    <fill>
      <patternFill patternType="solid">
        <fgColor rgb="FFF28C28"/>
      </patternFill>
    </fill>
    <fill>
      <patternFill patternType="solid"/>
    </fill>
    <fill>
      <patternFill patternType="solid">
        <fgColor rgb="FFF4B6B6"/>
      </patternFill>
    </fill>
    <fill>
      <patternFill patternType="solid">
        <fgColor rgb="FFD9D9D9"/>
      </patternFill>
    </fill>
    <fill>
      <patternFill patternType="solid">
        <fgColor rgb="FFFFDE00"/>
      </patternFill>
    </fill>
    <fill>
      <patternFill patternType="solid">
        <fgColor rgb="FFD4AF37"/>
      </patternFill>
    </fill>
    <fill>
      <patternFill patternType="solid">
        <fgColor rgb="FF5B2C83"/>
      </patternFill>
    </fill>
    <fill>
      <patternFill patternType="solid">
        <fgColor rgb="FFE8D5F5"/>
      </patternFill>
    </fill>
    <fill>
      <patternFill patternType="solid">
        <fgColor rgb="FF595959"/>
      </patternFill>
    </fill>
    <fill>
      <patternFill patternType="solid">
        <fgColor rgb="FFC00078"/>
      </patternFill>
    </fill>
    <fill>
      <patternFill patternType="solid">
        <fgColor rgb="FF00807F"/>
      </patternFill>
    </fill>
    <fill>
      <patternFill patternType="solid">
        <fgColor rgb="FF548235"/>
      </patternFill>
    </fill>
    <fill>
      <patternFill patternType="solid">
        <fgColor rgb="FFF2F2F2"/>
      </patternFill>
    </fill>
    <fill>
      <patternFill patternType="solid">
        <fgColor rgb="FFFFF2CC"/>
      </patternFill>
    </fill>
    <fill>
      <patternFill patternType="solid">
        <fgColor rgb="FFFFC7CE"/>
      </patternFill>
    </fill>
    <fill>
      <patternFill patternType="solid">
        <fgColor rgb="FF1F2A44"/>
      </patternFill>
    </fill>
    <fill>
      <patternFill patternType="solid">
        <fgColor rgb="FFEDEDED"/>
      </patternFill>
    </fill>
    <fill>
      <patternFill patternType="solid">
        <fgColor rgb="FFDDEBF7"/>
      </patternFill>
    </fill>
    <fill>
      <patternFill patternType="solid">
        <fgColor rgb="FFB22234"/>
      </patternFill>
    </fill>
    <fill>
      <patternFill patternType="solid">
        <fgColor rgb="FF5B9BD5"/>
      </patternFill>
    </fill>
    <fill>
      <patternFill patternType="solid">
        <fgColor rgb="FF012169"/>
      </patternFill>
    </fill>
    <fill>
      <patternFill patternType="solid">
        <fgColor rgb="FFFFFFFF"/>
      </patternFill>
    </fill>
    <fill>
      <patternFill patternType="solid">
        <fgColor rgb="FFD4AF37"/>
      </patternFill>
    </fill>
    <fill>
      <patternFill patternType="solid">
        <fgColor rgb="FF1F2A44"/>
      </patternFill>
    </fill>
    <fill>
      <patternFill patternType="solid">
        <fgColor rgb="FF2E7D32"/>
      </patternFill>
    </fill>
    <fill>
      <patternFill patternType="solid">
        <fgColor rgb="FFF7F9FC"/>
      </patternFill>
    </fill>
    <fill>
      <patternFill patternType="solid">
        <fgColor rgb="FFDDEBF7"/>
      </patternFill>
    </fill>
  </fills>
  <borders count="33">
    <border>
      <left/>
      <right/>
      <top/>
      <bottom/>
      <diagonal/>
    </border>
    <border>
      <left/>
      <right/>
      <top style="thin">
        <color rgb="FFBFBFBF"/>
      </top>
      <bottom/>
      <diagonal/>
    </border>
    <border>
      <left style="thin">
        <color rgb="FFBFBFBF"/>
      </left>
      <right/>
      <top/>
      <bottom/>
      <diagonal/>
    </border>
    <border>
      <left/>
      <right/>
      <top/>
      <bottom/>
      <diagonal/>
    </border>
    <border>
      <left/>
      <right/>
      <top/>
      <bottom style="medium">
        <color rgb="FF1F2A44"/>
      </bottom>
      <diagonal/>
    </border>
    <border>
      <left style="thin">
        <color rgb="FF3A4766"/>
      </left>
      <right style="thin">
        <color rgb="FF3A4766"/>
      </right>
      <top/>
      <bottom/>
      <diagonal/>
    </border>
    <border>
      <left style="thin">
        <color rgb="FFC9CED6"/>
      </left>
      <right style="thin">
        <color rgb="FFC9CED6"/>
      </right>
      <top style="thin">
        <color rgb="FFC9CED6"/>
      </top>
      <bottom style="thin">
        <color rgb="FFC9CED6"/>
      </bottom>
      <diagonal/>
    </border>
    <border>
      <left/>
      <right/>
      <top/>
      <bottom style="thin">
        <color rgb="FFC9CED6"/>
      </bottom>
      <diagonal/>
    </border>
    <border>
      <left/>
      <right/>
      <top/>
      <bottom style="thin">
        <color rgb="FF1F2A44"/>
      </bottom>
      <diagonal/>
    </border>
    <border>
      <left style="medium">
        <color rgb="FF1F2A44"/>
      </left>
      <right style="thin">
        <color rgb="FFC9CED6"/>
      </right>
      <top style="thin">
        <color rgb="FFC9CED6"/>
      </top>
      <bottom style="thin">
        <color rgb="FFC9CED6"/>
      </bottom>
      <diagonal/>
    </border>
    <border>
      <left style="thin">
        <color rgb="FFC9CED6"/>
      </left>
      <right style="thin">
        <color rgb="FFC9CED6"/>
      </right>
      <top style="double">
        <color rgb="FF1F2A44"/>
      </top>
      <bottom style="thin">
        <color rgb="FFC9CED6"/>
      </bottom>
      <diagonal/>
    </border>
    <border>
      <left/>
      <right/>
      <top style="thin">
        <color rgb="FFC9CED6"/>
      </top>
      <bottom/>
      <diagonal/>
    </border>
    <border>
      <left style="thin">
        <color rgb="FFC9CED6"/>
      </left>
      <right style="thin">
        <color rgb="FFC9CED6"/>
      </right>
      <top style="thin">
        <color rgb="FFC9CED6"/>
      </top>
      <bottom style="thin">
        <color rgb="FFC9CED6"/>
      </bottom>
      <diagonal/>
    </border>
    <border>
      <left style="thin">
        <color rgb="FF3A4766"/>
      </left>
      <right style="thin">
        <color rgb="FF3A4766"/>
      </right>
      <top/>
      <bottom/>
      <diagonal/>
    </border>
    <border>
      <left/>
      <right/>
      <top/>
      <bottom style="thin">
        <color rgb="FF1F2A44"/>
      </bottom>
      <diagonal/>
    </border>
    <border>
      <left style="thin">
        <color rgb="FFC9CED6"/>
      </left>
      <right style="thin">
        <color rgb="FFC9CED6"/>
      </right>
      <top style="thin">
        <color rgb="FFC9CED6"/>
      </top>
      <bottom style="thin">
        <color rgb="FFC9CED6"/>
      </bottom>
      <diagonal/>
    </border>
    <border>
      <left/>
      <right/>
      <top/>
      <bottom style="thin">
        <color rgb="FF1F2A44"/>
      </bottom>
      <diagonal/>
    </border>
    <border>
      <left/>
      <right/>
      <top/>
      <bottom style="thin">
        <color rgb="FF1F2A44"/>
      </bottom>
      <diagonal/>
    </border>
    <border>
      <left style="thin">
        <color rgb="FFC9CED6"/>
      </left>
      <right style="thin">
        <color rgb="FFC9CED6"/>
      </right>
      <top style="thin">
        <color rgb="FFC9CED6"/>
      </top>
      <bottom style="thin">
        <color rgb="FFC9CED6"/>
      </bottom>
      <diagonal/>
    </border>
    <border>
      <left/>
      <right style="thin">
        <color rgb="FFC9CED6"/>
      </right>
      <top style="thin">
        <color rgb="FFC9CED6"/>
      </top>
      <bottom/>
      <diagonal/>
    </border>
    <border>
      <left/>
      <right style="thin">
        <color rgb="FFC9CED6"/>
      </right>
      <top style="thin">
        <color rgb="FFC9CED6"/>
      </top>
      <bottom style="thin">
        <color rgb="FFC9CED6"/>
      </bottom>
      <diagonal/>
    </border>
    <border>
      <left/>
      <right/>
      <top style="medium">
        <color rgb="FF1F2A44"/>
      </top>
      <bottom/>
      <diagonal/>
    </border>
    <border>
      <left/>
      <right/>
      <top style="thin">
        <color rgb="FFC9CED6"/>
      </top>
      <bottom style="thin">
        <color rgb="FFC9CED6"/>
      </bottom>
      <diagonal/>
    </border>
    <border>
      <left/>
      <right/>
      <top style="medium">
        <color rgb="FFBC002D"/>
      </top>
      <bottom style="medium">
        <color rgb="FFBC002D"/>
      </bottom>
      <diagonal/>
    </border>
    <border>
      <left style="thin">
        <color rgb="FFC9CED6"/>
      </left>
      <right style="thin">
        <color rgb="FFC9CED6"/>
      </right>
      <top/>
      <bottom/>
      <diagonal/>
    </border>
    <border>
      <left style="thin">
        <color rgb="FFC9CED6"/>
      </left>
      <right style="thin">
        <color rgb="FFC9CED6"/>
      </right>
      <top/>
      <bottom style="thin">
        <color rgb="FFC9CED6"/>
      </bottom>
      <diagonal/>
    </border>
    <border>
      <left style="thin">
        <color rgb="FFC9CED6"/>
      </left>
      <right/>
      <top/>
      <bottom style="thin">
        <color rgb="FFC9CED6"/>
      </bottom>
      <diagonal/>
    </border>
    <border>
      <left/>
      <right style="thin">
        <color rgb="FFC9CED6"/>
      </right>
      <top/>
      <bottom style="thin">
        <color rgb="FFC9CED6"/>
      </bottom>
      <diagonal/>
    </border>
    <border>
      <left/>
      <right/>
      <top/>
      <bottom style="medium">
        <color rgb="FF1F2A44"/>
      </bottom>
      <diagonal/>
    </border>
    <border>
      <left style="thin">
        <color rgb="FFC9CED6"/>
      </left>
      <right style="thin">
        <color rgb="FFC9CED6"/>
      </right>
      <top style="thin">
        <color rgb="FFC9CED6"/>
      </top>
      <bottom style="thin">
        <color rgb="FFC9CED6"/>
      </bottom>
      <diagonal/>
    </border>
    <border>
      <left style="medium">
        <color rgb="FF1F2A44"/>
      </left>
      <right style="thin">
        <color rgb="FFC9CED6"/>
      </right>
      <top style="thin">
        <color rgb="FFC9CED6"/>
      </top>
      <bottom style="thin">
        <color rgb="FFC9CED6"/>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31"/>
  </cellStyleXfs>
  <cellXfs count="323">
    <xf numFmtId="0" fontId="0" fillId="0" borderId="0" xfId="0" applyBorder="1"/>
    <xf numFmtId="0" fontId="1" fillId="0" borderId="0" xfId="0" applyFont="1" applyBorder="1" applyAlignment="1">
      <alignment vertical="top"/>
    </xf>
    <xf numFmtId="0" fontId="15" fillId="4" borderId="3" xfId="0" applyFont="1" applyFill="1" applyBorder="1" applyAlignment="1">
      <alignment horizontal="left" vertical="center" indent="1"/>
    </xf>
    <xf numFmtId="0" fontId="0" fillId="4" borderId="3" xfId="0" applyFill="1" applyBorder="1"/>
    <xf numFmtId="0" fontId="16" fillId="0" borderId="0" xfId="0" applyFont="1" applyBorder="1" applyAlignment="1">
      <alignment horizontal="left" vertical="center" indent="1"/>
    </xf>
    <xf numFmtId="0" fontId="17" fillId="0" borderId="4" xfId="0" applyFont="1" applyBorder="1" applyAlignment="1">
      <alignment horizontal="left"/>
    </xf>
    <xf numFmtId="0" fontId="0" fillId="0" borderId="4" xfId="0" applyBorder="1"/>
    <xf numFmtId="0" fontId="14" fillId="0" borderId="0" xfId="0" applyFont="1" applyBorder="1"/>
    <xf numFmtId="0" fontId="19" fillId="4" borderId="5" xfId="0" applyFont="1" applyFill="1" applyBorder="1" applyAlignment="1">
      <alignment horizontal="left" vertical="center" indent="1"/>
    </xf>
    <xf numFmtId="0" fontId="19" fillId="4" borderId="5" xfId="0" applyFont="1" applyFill="1" applyBorder="1" applyAlignment="1">
      <alignment horizontal="left" vertical="center"/>
    </xf>
    <xf numFmtId="0" fontId="21" fillId="0" borderId="6" xfId="0" applyFont="1" applyBorder="1" applyAlignment="1">
      <alignment horizontal="left" vertical="center" indent="1"/>
    </xf>
    <xf numFmtId="0" fontId="0" fillId="0" borderId="6" xfId="0" applyBorder="1" applyAlignment="1">
      <alignment horizontal="left" vertical="center" wrapText="1"/>
    </xf>
    <xf numFmtId="0" fontId="22" fillId="0" borderId="8" xfId="0" applyFont="1" applyBorder="1" applyAlignment="1">
      <alignment horizontal="left"/>
    </xf>
    <xf numFmtId="0" fontId="0" fillId="0" borderId="8" xfId="0" applyBorder="1"/>
    <xf numFmtId="0" fontId="23" fillId="5" borderId="6" xfId="0" applyFont="1" applyFill="1" applyBorder="1" applyAlignment="1">
      <alignment horizontal="center" vertical="center"/>
    </xf>
    <xf numFmtId="0" fontId="24" fillId="0" borderId="6" xfId="0" applyFont="1" applyBorder="1" applyAlignment="1">
      <alignment horizontal="left" vertical="center" wrapText="1"/>
    </xf>
    <xf numFmtId="0" fontId="25" fillId="6" borderId="6" xfId="0" applyFont="1" applyFill="1" applyBorder="1" applyAlignment="1">
      <alignment horizontal="center" vertical="center"/>
    </xf>
    <xf numFmtId="0" fontId="26" fillId="6" borderId="6"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2" fillId="0" borderId="6" xfId="0" applyFont="1" applyBorder="1" applyAlignment="1">
      <alignment horizontal="left" vertical="center" wrapText="1"/>
    </xf>
    <xf numFmtId="0" fontId="3" fillId="2" borderId="6" xfId="0" applyFont="1" applyFill="1" applyBorder="1" applyAlignment="1">
      <alignment horizontal="center" vertical="center"/>
    </xf>
    <xf numFmtId="0" fontId="7" fillId="0" borderId="6" xfId="0" applyFont="1" applyBorder="1" applyAlignment="1">
      <alignment horizontal="left" vertical="center" wrapText="1"/>
    </xf>
    <xf numFmtId="0" fontId="27" fillId="0" borderId="6" xfId="0" applyFont="1" applyBorder="1" applyAlignment="1">
      <alignment horizontal="center" vertical="center"/>
    </xf>
    <xf numFmtId="0" fontId="16" fillId="0" borderId="6" xfId="0" applyFont="1" applyBorder="1" applyAlignment="1">
      <alignment horizontal="center" vertical="center"/>
    </xf>
    <xf numFmtId="0" fontId="28" fillId="0" borderId="6" xfId="0" applyFont="1" applyBorder="1" applyAlignment="1">
      <alignment horizontal="center" vertical="center"/>
    </xf>
    <xf numFmtId="0" fontId="29" fillId="0" borderId="6" xfId="0" applyFont="1" applyBorder="1" applyAlignment="1">
      <alignment horizontal="center" vertical="center"/>
    </xf>
    <xf numFmtId="0" fontId="30" fillId="7" borderId="9" xfId="0" applyFont="1" applyFill="1" applyBorder="1" applyAlignment="1">
      <alignment horizontal="center" vertical="center"/>
    </xf>
    <xf numFmtId="0" fontId="31" fillId="8" borderId="6" xfId="0" applyFont="1" applyFill="1" applyBorder="1" applyAlignment="1">
      <alignment horizontal="center" vertical="center"/>
    </xf>
    <xf numFmtId="0" fontId="32" fillId="9" borderId="6" xfId="0" applyFont="1" applyFill="1" applyBorder="1" applyAlignment="1">
      <alignment horizontal="center" vertical="center"/>
    </xf>
    <xf numFmtId="0" fontId="33" fillId="10" borderId="6" xfId="0" applyFont="1" applyFill="1" applyBorder="1" applyAlignment="1">
      <alignment horizontal="center" vertical="center"/>
    </xf>
    <xf numFmtId="0" fontId="34" fillId="11" borderId="6" xfId="0" applyFont="1" applyFill="1" applyBorder="1" applyAlignment="1">
      <alignment horizontal="center" vertical="center"/>
    </xf>
    <xf numFmtId="0" fontId="31" fillId="6" borderId="6" xfId="0" applyFont="1" applyFill="1" applyBorder="1" applyAlignment="1">
      <alignment horizontal="center" vertical="center"/>
    </xf>
    <xf numFmtId="0" fontId="32" fillId="6" borderId="6" xfId="0" applyFont="1" applyFill="1" applyBorder="1" applyAlignment="1">
      <alignment horizontal="center" vertical="center"/>
    </xf>
    <xf numFmtId="0" fontId="35" fillId="6" borderId="6" xfId="0" applyFont="1" applyFill="1" applyBorder="1" applyAlignment="1">
      <alignment horizontal="center" vertical="center"/>
    </xf>
    <xf numFmtId="0" fontId="36" fillId="6" borderId="6" xfId="0" applyFont="1" applyFill="1" applyBorder="1" applyAlignment="1">
      <alignment horizontal="center" vertical="center"/>
    </xf>
    <xf numFmtId="0" fontId="37" fillId="12" borderId="6" xfId="0" applyFont="1" applyFill="1" applyBorder="1" applyAlignment="1">
      <alignment horizontal="center" vertical="center"/>
    </xf>
    <xf numFmtId="0" fontId="38" fillId="13" borderId="6" xfId="0" applyFont="1" applyFill="1" applyBorder="1" applyAlignment="1">
      <alignment horizontal="center" vertical="center"/>
    </xf>
    <xf numFmtId="0" fontId="39" fillId="14" borderId="6" xfId="0" applyFont="1" applyFill="1" applyBorder="1" applyAlignment="1">
      <alignment horizontal="center" vertical="center"/>
    </xf>
    <xf numFmtId="0" fontId="20" fillId="0" borderId="7" xfId="0" applyFont="1" applyBorder="1" applyAlignment="1">
      <alignment horizontal="left" vertical="center" wrapText="1"/>
    </xf>
    <xf numFmtId="0" fontId="40" fillId="15" borderId="6" xfId="0" applyFont="1" applyFill="1" applyBorder="1" applyAlignment="1">
      <alignment horizontal="center" vertical="center"/>
    </xf>
    <xf numFmtId="0" fontId="28" fillId="5" borderId="6" xfId="0" applyFont="1" applyFill="1" applyBorder="1" applyAlignment="1">
      <alignment horizontal="center" vertical="center"/>
    </xf>
    <xf numFmtId="0" fontId="19" fillId="16" borderId="6" xfId="0" applyFont="1" applyFill="1" applyBorder="1" applyAlignment="1">
      <alignment horizontal="center" vertical="center"/>
    </xf>
    <xf numFmtId="0" fontId="19" fillId="17" borderId="6" xfId="0" applyFont="1" applyFill="1" applyBorder="1" applyAlignment="1">
      <alignment horizontal="center" vertical="center"/>
    </xf>
    <xf numFmtId="0" fontId="14" fillId="4" borderId="3" xfId="0" applyFont="1" applyFill="1" applyBorder="1"/>
    <xf numFmtId="0" fontId="41" fillId="4" borderId="3" xfId="0" applyFont="1" applyFill="1" applyBorder="1" applyAlignment="1">
      <alignment horizontal="right" vertical="center" indent="1"/>
    </xf>
    <xf numFmtId="0" fontId="19" fillId="4" borderId="5" xfId="0" applyFont="1" applyFill="1" applyBorder="1" applyAlignment="1">
      <alignment horizontal="center" vertical="center" wrapText="1"/>
    </xf>
    <xf numFmtId="0" fontId="8" fillId="0" borderId="6" xfId="0" applyFont="1" applyBorder="1" applyAlignment="1">
      <alignment horizontal="center" vertical="center"/>
    </xf>
    <xf numFmtId="0" fontId="2" fillId="0" borderId="6" xfId="0" applyFont="1" applyBorder="1" applyAlignment="1">
      <alignment horizontal="center" vertical="center"/>
    </xf>
    <xf numFmtId="0" fontId="5" fillId="3" borderId="6" xfId="0" applyFont="1" applyFill="1" applyBorder="1" applyAlignment="1">
      <alignment horizontal="center" vertical="center"/>
    </xf>
    <xf numFmtId="0" fontId="4" fillId="3" borderId="6" xfId="0" applyFont="1" applyFill="1" applyBorder="1" applyAlignment="1">
      <alignment horizontal="center" vertical="center"/>
    </xf>
    <xf numFmtId="1" fontId="5" fillId="3" borderId="6" xfId="0" applyNumberFormat="1" applyFont="1" applyFill="1" applyBorder="1" applyAlignment="1">
      <alignment horizontal="center" vertical="center"/>
    </xf>
    <xf numFmtId="1" fontId="4" fillId="3" borderId="6" xfId="0" applyNumberFormat="1" applyFont="1" applyFill="1" applyBorder="1" applyAlignment="1">
      <alignment horizontal="center" vertical="center"/>
    </xf>
    <xf numFmtId="0" fontId="8" fillId="3" borderId="6" xfId="0" applyFont="1" applyFill="1" applyBorder="1" applyAlignment="1">
      <alignment horizontal="center" vertical="center"/>
    </xf>
    <xf numFmtId="15" fontId="3" fillId="2" borderId="6" xfId="0" applyNumberFormat="1" applyFont="1" applyFill="1" applyBorder="1" applyAlignment="1">
      <alignment horizontal="center" vertical="center"/>
    </xf>
    <xf numFmtId="15" fontId="4" fillId="3" borderId="6" xfId="0" applyNumberFormat="1" applyFont="1" applyFill="1" applyBorder="1" applyAlignment="1">
      <alignment horizontal="center" vertical="center"/>
    </xf>
    <xf numFmtId="0" fontId="3" fillId="2" borderId="6" xfId="0" applyFont="1" applyFill="1" applyBorder="1" applyAlignment="1">
      <alignment horizontal="left" vertical="center" wrapText="1"/>
    </xf>
    <xf numFmtId="0" fontId="9" fillId="0" borderId="6" xfId="0" applyFont="1" applyBorder="1" applyAlignment="1">
      <alignment horizontal="center" vertical="center"/>
    </xf>
    <xf numFmtId="0" fontId="44" fillId="0" borderId="0" xfId="0" applyFont="1" applyBorder="1" applyAlignment="1">
      <alignment horizontal="left"/>
    </xf>
    <xf numFmtId="0" fontId="20" fillId="0" borderId="6" xfId="0" applyFont="1" applyBorder="1" applyAlignment="1">
      <alignment horizontal="left" vertical="center" indent="1"/>
    </xf>
    <xf numFmtId="0" fontId="10" fillId="2" borderId="6" xfId="0" applyFont="1" applyFill="1" applyBorder="1" applyAlignment="1">
      <alignment horizontal="center" vertical="center"/>
    </xf>
    <xf numFmtId="0" fontId="8" fillId="0" borderId="6" xfId="0" applyFont="1" applyBorder="1" applyAlignment="1">
      <alignment horizontal="left" vertical="center" wrapText="1"/>
    </xf>
    <xf numFmtId="0" fontId="11" fillId="3" borderId="6" xfId="0" applyFont="1" applyFill="1" applyBorder="1" applyAlignment="1">
      <alignment horizontal="right" vertical="center"/>
    </xf>
    <xf numFmtId="0" fontId="12" fillId="3" borderId="6" xfId="0" applyFont="1" applyFill="1" applyBorder="1" applyAlignment="1">
      <alignment horizontal="left" vertical="center"/>
    </xf>
    <xf numFmtId="164" fontId="14" fillId="3" borderId="6" xfId="0" applyNumberFormat="1" applyFont="1" applyFill="1" applyBorder="1" applyAlignment="1">
      <alignment horizontal="center" vertical="center"/>
    </xf>
    <xf numFmtId="0" fontId="14" fillId="3" borderId="6" xfId="0" applyFont="1" applyFill="1" applyBorder="1" applyAlignment="1">
      <alignment horizontal="center" vertical="center"/>
    </xf>
    <xf numFmtId="0" fontId="16" fillId="0" borderId="6" xfId="0" applyFont="1" applyBorder="1" applyAlignment="1">
      <alignment horizontal="left" vertical="center" wrapText="1"/>
    </xf>
    <xf numFmtId="2" fontId="5" fillId="3" borderId="6" xfId="0" applyNumberFormat="1" applyFont="1" applyFill="1" applyBorder="1" applyAlignment="1">
      <alignment horizontal="center" vertical="center"/>
    </xf>
    <xf numFmtId="165" fontId="14" fillId="3" borderId="6" xfId="0" applyNumberFormat="1" applyFont="1" applyFill="1" applyBorder="1" applyAlignment="1">
      <alignment horizontal="center" vertical="center"/>
    </xf>
    <xf numFmtId="0" fontId="20" fillId="0" borderId="10" xfId="0" applyFont="1" applyBorder="1" applyAlignment="1">
      <alignment horizontal="left" vertical="center" wrapText="1"/>
    </xf>
    <xf numFmtId="0" fontId="20" fillId="3" borderId="10" xfId="0" applyFont="1" applyFill="1" applyBorder="1" applyAlignment="1">
      <alignment horizontal="center" vertical="center"/>
    </xf>
    <xf numFmtId="0" fontId="42" fillId="0" borderId="10" xfId="0" applyFont="1" applyBorder="1" applyAlignment="1">
      <alignment vertical="center"/>
    </xf>
    <xf numFmtId="0" fontId="43" fillId="0" borderId="10" xfId="0" applyFont="1" applyBorder="1" applyAlignment="1">
      <alignment horizontal="left" vertical="center" wrapText="1"/>
    </xf>
    <xf numFmtId="0" fontId="20" fillId="0" borderId="6" xfId="0" applyFont="1" applyBorder="1" applyAlignment="1">
      <alignment horizontal="left" vertical="center" wrapText="1"/>
    </xf>
    <xf numFmtId="0" fontId="28" fillId="0" borderId="0" xfId="0" applyFont="1" applyBorder="1" applyAlignment="1">
      <alignment horizontal="left" vertical="center" indent="1"/>
    </xf>
    <xf numFmtId="0" fontId="16" fillId="0" borderId="0" xfId="0" applyFont="1" applyBorder="1" applyAlignment="1">
      <alignment horizontal="left" vertical="center"/>
    </xf>
    <xf numFmtId="2" fontId="3" fillId="2" borderId="6" xfId="0" applyNumberFormat="1" applyFont="1" applyFill="1" applyBorder="1" applyAlignment="1">
      <alignment horizontal="center" vertical="center"/>
    </xf>
    <xf numFmtId="166" fontId="3" fillId="2" borderId="6" xfId="0" applyNumberFormat="1" applyFont="1" applyFill="1" applyBorder="1" applyAlignment="1">
      <alignment horizontal="center" vertical="center"/>
    </xf>
    <xf numFmtId="0" fontId="43" fillId="0" borderId="0" xfId="0" applyFont="1" applyBorder="1" applyAlignment="1">
      <alignment horizontal="left" vertical="center" indent="1"/>
    </xf>
    <xf numFmtId="0" fontId="2" fillId="0" borderId="6" xfId="0" applyFont="1" applyBorder="1" applyAlignment="1">
      <alignment horizontal="left" vertical="center" indent="1"/>
    </xf>
    <xf numFmtId="167" fontId="3" fillId="2" borderId="6" xfId="0" applyNumberFormat="1" applyFont="1" applyFill="1" applyBorder="1" applyAlignment="1">
      <alignment horizontal="center" vertical="center"/>
    </xf>
    <xf numFmtId="3" fontId="3" fillId="2" borderId="6" xfId="0" applyNumberFormat="1" applyFont="1" applyFill="1" applyBorder="1" applyAlignment="1">
      <alignment horizontal="center" vertical="center"/>
    </xf>
    <xf numFmtId="0" fontId="2" fillId="0" borderId="6" xfId="0" applyFont="1" applyBorder="1" applyAlignment="1">
      <alignment horizontal="left" vertical="center" wrapText="1" indent="1"/>
    </xf>
    <xf numFmtId="2" fontId="3" fillId="2" borderId="6" xfId="0" applyNumberFormat="1" applyFont="1" applyFill="1" applyBorder="1" applyAlignment="1">
      <alignment vertical="center"/>
    </xf>
    <xf numFmtId="168" fontId="4" fillId="3" borderId="6" xfId="0" applyNumberFormat="1" applyFont="1" applyFill="1" applyBorder="1" applyAlignment="1">
      <alignment horizontal="center" vertical="center"/>
    </xf>
    <xf numFmtId="169" fontId="4" fillId="3" borderId="6" xfId="0" applyNumberFormat="1" applyFont="1" applyFill="1" applyBorder="1" applyAlignment="1">
      <alignment horizontal="center" vertical="center"/>
    </xf>
    <xf numFmtId="0" fontId="5" fillId="3" borderId="6" xfId="0" applyFont="1" applyFill="1" applyBorder="1" applyAlignment="1">
      <alignment vertical="center"/>
    </xf>
    <xf numFmtId="0" fontId="14" fillId="0" borderId="6" xfId="0" applyFont="1" applyBorder="1" applyAlignment="1">
      <alignment vertical="center"/>
    </xf>
    <xf numFmtId="0" fontId="4" fillId="0" borderId="6" xfId="0" applyFont="1" applyBorder="1" applyAlignment="1">
      <alignment horizontal="center" vertical="center"/>
    </xf>
    <xf numFmtId="0" fontId="3" fillId="2" borderId="6" xfId="0" applyFont="1" applyFill="1" applyBorder="1" applyAlignment="1">
      <alignment vertical="center"/>
    </xf>
    <xf numFmtId="0" fontId="20" fillId="0" borderId="10" xfId="0" applyFont="1" applyBorder="1" applyAlignment="1">
      <alignment horizontal="left" vertical="center" wrapText="1" indent="1"/>
    </xf>
    <xf numFmtId="0" fontId="42" fillId="0" borderId="10" xfId="0" applyFont="1" applyBorder="1" applyAlignment="1">
      <alignment horizontal="left" vertical="center" wrapText="1"/>
    </xf>
    <xf numFmtId="0" fontId="20" fillId="0" borderId="6" xfId="0" applyFont="1" applyBorder="1" applyAlignment="1">
      <alignment horizontal="left" vertical="center" wrapText="1" indent="1"/>
    </xf>
    <xf numFmtId="0" fontId="20" fillId="3" borderId="6" xfId="0" applyFont="1" applyFill="1" applyBorder="1" applyAlignment="1">
      <alignment horizontal="center" vertical="center"/>
    </xf>
    <xf numFmtId="0" fontId="42" fillId="0" borderId="6" xfId="0" applyFont="1" applyBorder="1" applyAlignment="1">
      <alignment vertical="center"/>
    </xf>
    <xf numFmtId="0" fontId="42" fillId="0" borderId="6" xfId="0" applyFont="1" applyBorder="1" applyAlignment="1">
      <alignment horizontal="left" vertical="center" wrapText="1"/>
    </xf>
    <xf numFmtId="0" fontId="7" fillId="0" borderId="3" xfId="0" applyFont="1" applyBorder="1" applyAlignment="1">
      <alignment vertical="top" wrapText="1"/>
    </xf>
    <xf numFmtId="4" fontId="3" fillId="2" borderId="6" xfId="0" applyNumberFormat="1" applyFont="1" applyFill="1" applyBorder="1" applyAlignment="1">
      <alignment vertical="center"/>
    </xf>
    <xf numFmtId="15" fontId="3" fillId="2" borderId="6" xfId="0" applyNumberFormat="1" applyFont="1" applyFill="1" applyBorder="1" applyAlignment="1">
      <alignment vertical="center"/>
    </xf>
    <xf numFmtId="0" fontId="18" fillId="0" borderId="6" xfId="0" applyFont="1" applyBorder="1" applyAlignment="1">
      <alignment horizontal="left" vertical="center" wrapText="1"/>
    </xf>
    <xf numFmtId="4" fontId="3" fillId="2" borderId="6" xfId="0" applyNumberFormat="1" applyFont="1" applyFill="1" applyBorder="1" applyAlignment="1">
      <alignment horizontal="center" vertical="center"/>
    </xf>
    <xf numFmtId="170" fontId="14" fillId="3" borderId="6" xfId="0" applyNumberFormat="1" applyFont="1" applyFill="1" applyBorder="1" applyAlignment="1">
      <alignment horizontal="center" vertical="center"/>
    </xf>
    <xf numFmtId="15" fontId="3" fillId="2" borderId="6" xfId="0" applyNumberFormat="1" applyFont="1" applyFill="1" applyBorder="1" applyAlignment="1">
      <alignment horizontal="center" vertical="center" wrapText="1"/>
    </xf>
    <xf numFmtId="0" fontId="13" fillId="0" borderId="6" xfId="0" applyFont="1" applyBorder="1" applyAlignment="1">
      <alignment horizontal="center" vertical="center"/>
    </xf>
    <xf numFmtId="0" fontId="6" fillId="0" borderId="3" xfId="0" applyFont="1" applyBorder="1" applyAlignment="1">
      <alignment horizontal="center" vertical="center" wrapText="1"/>
    </xf>
    <xf numFmtId="0" fontId="45" fillId="0" borderId="6" xfId="0" applyFont="1" applyBorder="1" applyAlignment="1">
      <alignment horizontal="left" vertical="center" wrapText="1"/>
    </xf>
    <xf numFmtId="0" fontId="7" fillId="0" borderId="6" xfId="0" applyFont="1" applyBorder="1" applyAlignment="1">
      <alignment horizontal="center" vertical="center"/>
    </xf>
    <xf numFmtId="0" fontId="14" fillId="0" borderId="3" xfId="0" applyFont="1" applyBorder="1"/>
    <xf numFmtId="0" fontId="13" fillId="0" borderId="3" xfId="0" applyFont="1" applyBorder="1" applyAlignment="1">
      <alignment horizontal="center" vertical="top"/>
    </xf>
    <xf numFmtId="0" fontId="14" fillId="3" borderId="6" xfId="0" applyFont="1" applyFill="1" applyBorder="1" applyAlignment="1">
      <alignment horizontal="left" vertical="center"/>
    </xf>
    <xf numFmtId="0" fontId="14" fillId="0" borderId="6" xfId="0" applyFont="1" applyBorder="1" applyAlignment="1">
      <alignment horizontal="left" vertical="center"/>
    </xf>
    <xf numFmtId="0" fontId="46" fillId="0" borderId="11" xfId="0" applyFont="1" applyBorder="1" applyAlignment="1">
      <alignment vertical="center"/>
    </xf>
    <xf numFmtId="0" fontId="46" fillId="0" borderId="3" xfId="0" applyFont="1" applyBorder="1" applyAlignment="1">
      <alignment vertical="center"/>
    </xf>
    <xf numFmtId="0" fontId="53" fillId="21" borderId="12" xfId="0" applyFont="1" applyFill="1" applyBorder="1" applyAlignment="1">
      <alignment horizontal="center" vertical="center"/>
    </xf>
    <xf numFmtId="0" fontId="18" fillId="0" borderId="12" xfId="0" applyFont="1" applyBorder="1" applyAlignment="1">
      <alignment horizontal="left" vertical="center" wrapText="1"/>
    </xf>
    <xf numFmtId="0" fontId="58" fillId="0" borderId="12" xfId="0" applyFont="1" applyBorder="1" applyAlignment="1">
      <alignment horizontal="left" vertical="center" wrapText="1"/>
    </xf>
    <xf numFmtId="0" fontId="53" fillId="22" borderId="12" xfId="0" applyFont="1" applyFill="1" applyBorder="1" applyAlignment="1">
      <alignment horizontal="center" vertical="center"/>
    </xf>
    <xf numFmtId="0" fontId="57" fillId="0" borderId="14" xfId="0" applyFont="1" applyBorder="1"/>
    <xf numFmtId="0" fontId="0" fillId="0" borderId="14" xfId="0" applyBorder="1"/>
    <xf numFmtId="0" fontId="59" fillId="23" borderId="12" xfId="0" applyFont="1" applyFill="1" applyBorder="1" applyAlignment="1">
      <alignment horizontal="center" vertical="center"/>
    </xf>
    <xf numFmtId="0" fontId="60" fillId="24" borderId="12" xfId="0" applyFont="1" applyFill="1" applyBorder="1" applyAlignment="1">
      <alignment horizontal="center" vertical="center"/>
    </xf>
    <xf numFmtId="0" fontId="61" fillId="25" borderId="12" xfId="0" applyFont="1" applyFill="1" applyBorder="1" applyAlignment="1">
      <alignment horizontal="center" vertical="center"/>
    </xf>
    <xf numFmtId="0" fontId="55" fillId="26" borderId="12" xfId="0" applyFont="1" applyFill="1" applyBorder="1" applyAlignment="1">
      <alignment horizontal="center" vertical="center"/>
    </xf>
    <xf numFmtId="0" fontId="62" fillId="18" borderId="12" xfId="0" applyFont="1" applyFill="1" applyBorder="1" applyAlignment="1">
      <alignment horizontal="center" vertical="center"/>
    </xf>
    <xf numFmtId="0" fontId="63" fillId="27" borderId="12" xfId="0" applyFont="1" applyFill="1" applyBorder="1" applyAlignment="1">
      <alignment horizontal="center" vertical="center"/>
    </xf>
    <xf numFmtId="0" fontId="0" fillId="20" borderId="0" xfId="0" applyFill="1" applyBorder="1"/>
    <xf numFmtId="0" fontId="52" fillId="20" borderId="0" xfId="0" applyFont="1" applyFill="1" applyBorder="1" applyAlignment="1">
      <alignment horizontal="right" vertical="center" indent="1"/>
    </xf>
    <xf numFmtId="0" fontId="47" fillId="18" borderId="12" xfId="0" applyFont="1" applyFill="1" applyBorder="1" applyAlignment="1">
      <alignment horizontal="center" vertical="center"/>
    </xf>
    <xf numFmtId="0" fontId="53" fillId="20" borderId="13" xfId="0" applyFont="1" applyFill="1" applyBorder="1" applyAlignment="1">
      <alignment horizontal="center" vertical="center" wrapText="1"/>
    </xf>
    <xf numFmtId="15" fontId="49" fillId="19" borderId="12" xfId="0" applyNumberFormat="1" applyFont="1" applyFill="1" applyBorder="1" applyAlignment="1">
      <alignment horizontal="center" vertical="center"/>
    </xf>
    <xf numFmtId="0" fontId="47" fillId="18" borderId="12" xfId="0" applyFont="1" applyFill="1" applyBorder="1" applyAlignment="1">
      <alignment horizontal="left" vertical="center" wrapText="1"/>
    </xf>
    <xf numFmtId="0" fontId="48" fillId="18" borderId="12" xfId="0" applyFont="1" applyFill="1" applyBorder="1" applyAlignment="1">
      <alignment horizontal="left" vertical="center"/>
    </xf>
    <xf numFmtId="172" fontId="47" fillId="18" borderId="12" xfId="0" applyNumberFormat="1" applyFont="1" applyFill="1" applyBorder="1" applyAlignment="1">
      <alignment horizontal="center" vertical="center"/>
    </xf>
    <xf numFmtId="20" fontId="47" fillId="18" borderId="12" xfId="0" applyNumberFormat="1" applyFont="1" applyFill="1" applyBorder="1" applyAlignment="1">
      <alignment horizontal="center" vertical="center"/>
    </xf>
    <xf numFmtId="0" fontId="54" fillId="19" borderId="12" xfId="0" applyFont="1" applyFill="1" applyBorder="1" applyAlignment="1">
      <alignment horizontal="center" vertical="center"/>
    </xf>
    <xf numFmtId="173" fontId="54" fillId="19" borderId="12" xfId="0" applyNumberFormat="1" applyFont="1" applyFill="1" applyBorder="1" applyAlignment="1">
      <alignment horizontal="center" vertical="center"/>
    </xf>
    <xf numFmtId="0" fontId="20" fillId="0" borderId="12" xfId="0" applyFont="1" applyBorder="1" applyAlignment="1">
      <alignment horizontal="center" vertical="center" wrapText="1"/>
    </xf>
    <xf numFmtId="0" fontId="18" fillId="0" borderId="12" xfId="0" applyFont="1" applyBorder="1" applyAlignment="1">
      <alignment horizontal="center" vertical="center" wrapText="1"/>
    </xf>
    <xf numFmtId="0" fontId="56" fillId="0" borderId="12" xfId="0" applyFont="1" applyBorder="1" applyAlignment="1">
      <alignment horizontal="left" vertical="center" wrapText="1"/>
    </xf>
    <xf numFmtId="0" fontId="66" fillId="28" borderId="0" xfId="0" applyFont="1" applyFill="1" applyBorder="1" applyAlignment="1">
      <alignment horizontal="left" vertical="center" indent="1"/>
    </xf>
    <xf numFmtId="0" fontId="0" fillId="28" borderId="0" xfId="0" applyFill="1" applyBorder="1"/>
    <xf numFmtId="0" fontId="68" fillId="28" borderId="0" xfId="0" applyFont="1" applyFill="1" applyBorder="1" applyAlignment="1">
      <alignment horizontal="right" vertical="center"/>
    </xf>
    <xf numFmtId="0" fontId="67" fillId="0" borderId="0" xfId="0" applyFont="1" applyBorder="1" applyAlignment="1">
      <alignment horizontal="left" vertical="center" indent="1"/>
    </xf>
    <xf numFmtId="0" fontId="71" fillId="28" borderId="0" xfId="0" applyFont="1" applyFill="1" applyBorder="1" applyAlignment="1">
      <alignment horizontal="center" vertical="center" wrapText="1"/>
    </xf>
    <xf numFmtId="0" fontId="72" fillId="0" borderId="15" xfId="0" applyFont="1" applyBorder="1" applyAlignment="1">
      <alignment horizontal="center" vertical="center"/>
    </xf>
    <xf numFmtId="0" fontId="73" fillId="0" borderId="15" xfId="0" applyFont="1" applyBorder="1" applyAlignment="1">
      <alignment horizontal="center" vertical="center"/>
    </xf>
    <xf numFmtId="0" fontId="56" fillId="0" borderId="15" xfId="0" applyFont="1" applyBorder="1" applyAlignment="1">
      <alignment horizontal="left" vertical="center" indent="1"/>
    </xf>
    <xf numFmtId="0" fontId="74" fillId="0" borderId="16" xfId="0" applyFont="1" applyBorder="1" applyAlignment="1">
      <alignment horizontal="center" vertical="center"/>
    </xf>
    <xf numFmtId="174" fontId="18" fillId="0" borderId="15" xfId="0" applyNumberFormat="1" applyFont="1" applyBorder="1" applyAlignment="1">
      <alignment horizontal="center" vertical="center"/>
    </xf>
    <xf numFmtId="0" fontId="75" fillId="31" borderId="15" xfId="0" applyFont="1" applyFill="1" applyBorder="1" applyAlignment="1">
      <alignment horizontal="center" vertical="center"/>
    </xf>
    <xf numFmtId="0" fontId="75" fillId="41" borderId="15" xfId="0" applyFont="1" applyFill="1" applyBorder="1" applyAlignment="1">
      <alignment horizontal="center" vertical="center"/>
    </xf>
    <xf numFmtId="0" fontId="77" fillId="0" borderId="15" xfId="0" applyFont="1" applyBorder="1" applyAlignment="1">
      <alignment horizontal="center" vertical="center"/>
    </xf>
    <xf numFmtId="0" fontId="75" fillId="32" borderId="15" xfId="0" applyFont="1" applyFill="1" applyBorder="1" applyAlignment="1">
      <alignment horizontal="center" vertical="center"/>
    </xf>
    <xf numFmtId="0" fontId="80" fillId="42" borderId="15" xfId="0" applyFont="1" applyFill="1" applyBorder="1" applyAlignment="1">
      <alignment horizontal="center" vertical="center"/>
    </xf>
    <xf numFmtId="0" fontId="75" fillId="33" borderId="15" xfId="0" applyFont="1" applyFill="1" applyBorder="1" applyAlignment="1">
      <alignment horizontal="center" vertical="center"/>
    </xf>
    <xf numFmtId="0" fontId="75" fillId="43" borderId="15" xfId="0" applyFont="1" applyFill="1" applyBorder="1" applyAlignment="1">
      <alignment horizontal="center" vertical="center"/>
    </xf>
    <xf numFmtId="0" fontId="77" fillId="48" borderId="15" xfId="0" applyFont="1" applyFill="1" applyBorder="1" applyAlignment="1">
      <alignment horizontal="center" vertical="center"/>
    </xf>
    <xf numFmtId="0" fontId="76" fillId="34" borderId="15" xfId="0" applyFont="1" applyFill="1" applyBorder="1" applyAlignment="1">
      <alignment horizontal="center" vertical="center"/>
    </xf>
    <xf numFmtId="0" fontId="75" fillId="44" borderId="15" xfId="0" applyFont="1" applyFill="1" applyBorder="1" applyAlignment="1">
      <alignment horizontal="center" vertical="center"/>
    </xf>
    <xf numFmtId="0" fontId="77" fillId="35" borderId="15" xfId="0" applyFont="1" applyFill="1" applyBorder="1" applyAlignment="1">
      <alignment horizontal="center" vertical="center"/>
    </xf>
    <xf numFmtId="0" fontId="75" fillId="45" borderId="15" xfId="0" applyFont="1" applyFill="1" applyBorder="1" applyAlignment="1">
      <alignment horizontal="center" vertical="center"/>
    </xf>
    <xf numFmtId="0" fontId="82" fillId="49" borderId="15" xfId="0" applyFont="1" applyFill="1" applyBorder="1" applyAlignment="1">
      <alignment horizontal="center" vertical="center"/>
    </xf>
    <xf numFmtId="0" fontId="75" fillId="36" borderId="15" xfId="0" applyFont="1" applyFill="1" applyBorder="1" applyAlignment="1">
      <alignment horizontal="center" vertical="center"/>
    </xf>
    <xf numFmtId="0" fontId="75" fillId="46" borderId="15" xfId="0" applyFont="1" applyFill="1" applyBorder="1" applyAlignment="1">
      <alignment horizontal="center" vertical="center"/>
    </xf>
    <xf numFmtId="0" fontId="75" fillId="28" borderId="15" xfId="0" applyFont="1" applyFill="1" applyBorder="1" applyAlignment="1">
      <alignment horizontal="center" vertical="center"/>
    </xf>
    <xf numFmtId="0" fontId="78" fillId="37" borderId="15" xfId="0" applyFont="1" applyFill="1" applyBorder="1" applyAlignment="1">
      <alignment horizontal="center" vertical="center"/>
    </xf>
    <xf numFmtId="0" fontId="81" fillId="47" borderId="15" xfId="0" applyFont="1" applyFill="1" applyBorder="1" applyAlignment="1">
      <alignment horizontal="center" vertical="center"/>
    </xf>
    <xf numFmtId="0" fontId="83" fillId="30" borderId="15" xfId="0" applyFont="1" applyFill="1" applyBorder="1" applyAlignment="1">
      <alignment horizontal="center" vertical="center"/>
    </xf>
    <xf numFmtId="0" fontId="79" fillId="38" borderId="15" xfId="0" applyFont="1" applyFill="1" applyBorder="1" applyAlignment="1">
      <alignment horizontal="center" vertical="center"/>
    </xf>
    <xf numFmtId="0" fontId="79" fillId="39" borderId="15" xfId="0" applyFont="1" applyFill="1" applyBorder="1" applyAlignment="1">
      <alignment horizontal="center" vertical="center"/>
    </xf>
    <xf numFmtId="0" fontId="77" fillId="40" borderId="15" xfId="0" applyFont="1" applyFill="1" applyBorder="1" applyAlignment="1">
      <alignment horizontal="center" vertical="center"/>
    </xf>
    <xf numFmtId="0" fontId="71" fillId="31" borderId="6" xfId="0" applyFont="1" applyFill="1" applyBorder="1" applyAlignment="1">
      <alignment horizontal="center" vertical="center"/>
    </xf>
    <xf numFmtId="0" fontId="71" fillId="32" borderId="6" xfId="0" applyFont="1" applyFill="1" applyBorder="1" applyAlignment="1">
      <alignment horizontal="center" vertical="center"/>
    </xf>
    <xf numFmtId="0" fontId="71" fillId="33" borderId="6" xfId="0" applyFont="1" applyFill="1" applyBorder="1" applyAlignment="1">
      <alignment horizontal="center" vertical="center"/>
    </xf>
    <xf numFmtId="0" fontId="84" fillId="34" borderId="6" xfId="0" applyFont="1" applyFill="1" applyBorder="1" applyAlignment="1">
      <alignment horizontal="center" vertical="center"/>
    </xf>
    <xf numFmtId="0" fontId="85" fillId="35" borderId="6" xfId="0" applyFont="1" applyFill="1" applyBorder="1" applyAlignment="1">
      <alignment horizontal="center" vertical="center"/>
    </xf>
    <xf numFmtId="0" fontId="71" fillId="36" borderId="6" xfId="0" applyFont="1" applyFill="1" applyBorder="1" applyAlignment="1">
      <alignment horizontal="center" vertical="center"/>
    </xf>
    <xf numFmtId="0" fontId="86" fillId="37" borderId="6" xfId="0" applyFont="1" applyFill="1" applyBorder="1" applyAlignment="1">
      <alignment horizontal="center" vertical="center"/>
    </xf>
    <xf numFmtId="0" fontId="87" fillId="38" borderId="6" xfId="0" applyFont="1" applyFill="1" applyBorder="1" applyAlignment="1">
      <alignment horizontal="center" vertical="center"/>
    </xf>
    <xf numFmtId="0" fontId="89" fillId="0" borderId="0" xfId="0" applyFont="1" applyBorder="1"/>
    <xf numFmtId="0" fontId="21" fillId="0" borderId="15" xfId="0" applyFont="1" applyBorder="1" applyAlignment="1">
      <alignment horizontal="left" vertical="center" indent="1"/>
    </xf>
    <xf numFmtId="0" fontId="0" fillId="0" borderId="15" xfId="0" applyBorder="1" applyAlignment="1">
      <alignment horizontal="left" vertical="center" wrapText="1"/>
    </xf>
    <xf numFmtId="0" fontId="0" fillId="50" borderId="0" xfId="0" applyFill="1" applyBorder="1"/>
    <xf numFmtId="0" fontId="68" fillId="50" borderId="0" xfId="0" applyFont="1" applyFill="1" applyBorder="1" applyAlignment="1">
      <alignment horizontal="right" vertical="center" indent="1"/>
    </xf>
    <xf numFmtId="0" fontId="94" fillId="50" borderId="0" xfId="0" applyFont="1" applyFill="1" applyBorder="1" applyAlignment="1">
      <alignment horizontal="center" vertical="center" wrapText="1"/>
    </xf>
    <xf numFmtId="0" fontId="96" fillId="51" borderId="18" xfId="0" applyFont="1" applyFill="1" applyBorder="1" applyAlignment="1">
      <alignment horizontal="center" vertical="center"/>
    </xf>
    <xf numFmtId="0" fontId="91" fillId="50" borderId="0" xfId="0" applyFont="1" applyFill="1" applyBorder="1" applyAlignment="1">
      <alignment horizontal="right" vertical="center"/>
    </xf>
    <xf numFmtId="0" fontId="95" fillId="0" borderId="18" xfId="0" applyFont="1" applyBorder="1" applyAlignment="1">
      <alignment horizontal="center" vertical="center"/>
    </xf>
    <xf numFmtId="0" fontId="97" fillId="52" borderId="18" xfId="0" applyFont="1" applyFill="1" applyBorder="1" applyAlignment="1">
      <alignment horizontal="center" vertical="center"/>
    </xf>
    <xf numFmtId="0" fontId="98" fillId="52" borderId="18" xfId="0" applyFont="1" applyFill="1" applyBorder="1" applyAlignment="1">
      <alignment horizontal="left" vertical="center" wrapText="1" indent="1"/>
    </xf>
    <xf numFmtId="0" fontId="98" fillId="52" borderId="18" xfId="0" applyFont="1" applyFill="1" applyBorder="1" applyAlignment="1">
      <alignment horizontal="center" vertical="center"/>
    </xf>
    <xf numFmtId="0" fontId="99" fillId="51" borderId="18" xfId="0" applyFont="1" applyFill="1" applyBorder="1" applyAlignment="1">
      <alignment horizontal="center" vertical="center"/>
    </xf>
    <xf numFmtId="0" fontId="101" fillId="53" borderId="21" xfId="0" applyFont="1" applyFill="1" applyBorder="1" applyAlignment="1">
      <alignment horizontal="left" vertical="center" indent="1"/>
    </xf>
    <xf numFmtId="0" fontId="0" fillId="53" borderId="21" xfId="0" applyFill="1" applyBorder="1"/>
    <xf numFmtId="0" fontId="20" fillId="0" borderId="18" xfId="0" applyFont="1" applyBorder="1" applyAlignment="1">
      <alignment horizontal="left" vertical="center" wrapText="1" indent="1"/>
    </xf>
    <xf numFmtId="0" fontId="18" fillId="0" borderId="18" xfId="0" applyFont="1" applyBorder="1" applyAlignment="1">
      <alignment horizontal="left" vertical="center" wrapText="1" indent="1"/>
    </xf>
    <xf numFmtId="2" fontId="102" fillId="51" borderId="18" xfId="0" applyNumberFormat="1" applyFont="1" applyFill="1" applyBorder="1" applyAlignment="1">
      <alignment horizontal="center" vertical="center"/>
    </xf>
    <xf numFmtId="2" fontId="98" fillId="52" borderId="18" xfId="0" applyNumberFormat="1" applyFont="1" applyFill="1" applyBorder="1" applyAlignment="1">
      <alignment horizontal="center" vertical="center"/>
    </xf>
    <xf numFmtId="175" fontId="100" fillId="51" borderId="18" xfId="0" applyNumberFormat="1" applyFont="1" applyFill="1" applyBorder="1" applyAlignment="1">
      <alignment horizontal="center" vertical="center"/>
    </xf>
    <xf numFmtId="176" fontId="100" fillId="51" borderId="18" xfId="0" applyNumberFormat="1" applyFont="1" applyFill="1" applyBorder="1" applyAlignment="1">
      <alignment horizontal="center" vertical="center"/>
    </xf>
    <xf numFmtId="166" fontId="102" fillId="51" borderId="18" xfId="0" applyNumberFormat="1" applyFont="1" applyFill="1" applyBorder="1" applyAlignment="1">
      <alignment horizontal="center" vertical="center"/>
    </xf>
    <xf numFmtId="166" fontId="100" fillId="51" borderId="18" xfId="0" applyNumberFormat="1" applyFont="1" applyFill="1" applyBorder="1" applyAlignment="1">
      <alignment horizontal="center" vertical="center"/>
    </xf>
    <xf numFmtId="0" fontId="100" fillId="51" borderId="18" xfId="0" applyFont="1" applyFill="1" applyBorder="1" applyAlignment="1">
      <alignment horizontal="center" vertical="center"/>
    </xf>
    <xf numFmtId="1" fontId="102" fillId="51" borderId="18" xfId="0" applyNumberFormat="1" applyFont="1" applyFill="1" applyBorder="1" applyAlignment="1">
      <alignment horizontal="center" vertical="center"/>
    </xf>
    <xf numFmtId="1" fontId="100" fillId="51" borderId="18" xfId="0" applyNumberFormat="1" applyFont="1" applyFill="1" applyBorder="1" applyAlignment="1">
      <alignment horizontal="center" vertical="center"/>
    </xf>
    <xf numFmtId="0" fontId="101" fillId="54" borderId="21" xfId="0" applyFont="1" applyFill="1" applyBorder="1" applyAlignment="1">
      <alignment horizontal="left" vertical="center" indent="1"/>
    </xf>
    <xf numFmtId="0" fontId="0" fillId="54" borderId="21" xfId="0" applyFill="1" applyBorder="1"/>
    <xf numFmtId="0" fontId="101" fillId="55" borderId="21" xfId="0" applyFont="1" applyFill="1" applyBorder="1" applyAlignment="1">
      <alignment horizontal="left" vertical="center" indent="1"/>
    </xf>
    <xf numFmtId="0" fontId="0" fillId="55" borderId="21" xfId="0" applyFill="1" applyBorder="1"/>
    <xf numFmtId="0" fontId="103" fillId="56" borderId="23" xfId="0" applyFont="1" applyFill="1" applyBorder="1" applyAlignment="1">
      <alignment horizontal="left" vertical="center" indent="1"/>
    </xf>
    <xf numFmtId="0" fontId="0" fillId="56" borderId="23" xfId="0" applyFill="1" applyBorder="1"/>
    <xf numFmtId="0" fontId="104" fillId="57" borderId="21" xfId="0" applyFont="1" applyFill="1" applyBorder="1" applyAlignment="1">
      <alignment horizontal="left" vertical="center" indent="1"/>
    </xf>
    <xf numFmtId="0" fontId="0" fillId="57" borderId="21" xfId="0" applyFill="1" applyBorder="1"/>
    <xf numFmtId="0" fontId="18" fillId="0" borderId="18" xfId="0" applyFont="1" applyBorder="1" applyAlignment="1">
      <alignment horizontal="left" vertical="center" indent="1"/>
    </xf>
    <xf numFmtId="177" fontId="102" fillId="51" borderId="18" xfId="0" applyNumberFormat="1" applyFont="1" applyFill="1" applyBorder="1" applyAlignment="1">
      <alignment horizontal="center" vertical="center"/>
    </xf>
    <xf numFmtId="0" fontId="0" fillId="0" borderId="18" xfId="0" applyBorder="1"/>
    <xf numFmtId="178" fontId="102" fillId="51" borderId="18" xfId="0" applyNumberFormat="1" applyFont="1" applyFill="1" applyBorder="1" applyAlignment="1">
      <alignment horizontal="center" vertical="center"/>
    </xf>
    <xf numFmtId="49" fontId="102" fillId="51" borderId="18" xfId="0" applyNumberFormat="1" applyFont="1" applyFill="1" applyBorder="1" applyAlignment="1">
      <alignment horizontal="center" vertical="center"/>
    </xf>
    <xf numFmtId="0" fontId="102" fillId="51" borderId="18" xfId="0" applyFont="1" applyFill="1" applyBorder="1" applyAlignment="1">
      <alignment horizontal="center" vertical="center"/>
    </xf>
    <xf numFmtId="0" fontId="20" fillId="0" borderId="18" xfId="0" applyFont="1" applyBorder="1" applyAlignment="1">
      <alignment horizontal="left" vertical="center" indent="1"/>
    </xf>
    <xf numFmtId="0" fontId="20" fillId="0" borderId="15"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56" fillId="0" borderId="15" xfId="0" applyFont="1" applyBorder="1" applyAlignment="1">
      <alignment horizontal="left" vertical="center" wrapText="1"/>
    </xf>
    <xf numFmtId="0" fontId="51" fillId="0" borderId="0" xfId="0" applyFont="1" applyBorder="1" applyAlignment="1">
      <alignment vertical="center"/>
    </xf>
    <xf numFmtId="0" fontId="21" fillId="0" borderId="18" xfId="0" applyFont="1" applyBorder="1" applyAlignment="1">
      <alignment horizontal="left" vertical="center" indent="1"/>
    </xf>
    <xf numFmtId="0" fontId="0" fillId="0" borderId="18" xfId="0" applyBorder="1" applyAlignment="1">
      <alignment horizontal="left" vertical="center" wrapText="1"/>
    </xf>
    <xf numFmtId="0" fontId="18" fillId="0" borderId="31" xfId="0" applyFont="1"/>
    <xf numFmtId="0" fontId="18" fillId="0" borderId="31" xfId="0" applyFont="1" applyAlignment="1">
      <alignment horizontal="center"/>
    </xf>
    <xf numFmtId="0" fontId="18" fillId="0" borderId="31" xfId="0" applyFont="1" applyAlignment="1">
      <alignment horizontal="left" vertical="center" wrapText="1" indent="1"/>
    </xf>
    <xf numFmtId="0" fontId="20" fillId="0" borderId="18"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56" fillId="0" borderId="18" xfId="0" applyFont="1" applyBorder="1" applyAlignment="1">
      <alignment horizontal="left" vertical="center" wrapText="1"/>
    </xf>
    <xf numFmtId="0" fontId="105" fillId="58" borderId="0" xfId="0" applyFont="1" applyFill="1" applyBorder="1" applyAlignment="1">
      <alignment horizontal="left" vertical="center" indent="1"/>
    </xf>
    <xf numFmtId="0" fontId="0" fillId="58" borderId="0" xfId="0" applyFill="1" applyBorder="1"/>
    <xf numFmtId="0" fontId="107" fillId="58" borderId="0" xfId="0" applyFont="1" applyFill="1" applyBorder="1" applyAlignment="1">
      <alignment horizontal="right" vertical="center"/>
    </xf>
    <xf numFmtId="0" fontId="110" fillId="58" borderId="0" xfId="0" applyFont="1" applyFill="1" applyBorder="1" applyAlignment="1">
      <alignment horizontal="center" vertical="center" wrapText="1"/>
    </xf>
    <xf numFmtId="179" fontId="114" fillId="61" borderId="29" xfId="0" applyNumberFormat="1" applyFont="1" applyFill="1" applyBorder="1" applyAlignment="1">
      <alignment horizontal="center" vertical="center" wrapText="1"/>
    </xf>
    <xf numFmtId="0" fontId="114" fillId="61" borderId="29" xfId="0" applyFont="1" applyFill="1" applyBorder="1" applyAlignment="1">
      <alignment horizontal="center" vertical="center" wrapText="1"/>
    </xf>
    <xf numFmtId="0" fontId="114" fillId="61" borderId="29" xfId="0" applyFont="1" applyFill="1" applyBorder="1" applyAlignment="1">
      <alignment horizontal="left" vertical="center" wrapText="1"/>
    </xf>
    <xf numFmtId="0" fontId="109" fillId="0" borderId="29" xfId="0" applyFont="1" applyBorder="1" applyAlignment="1">
      <alignment horizontal="center" vertical="center"/>
    </xf>
    <xf numFmtId="0" fontId="111" fillId="59" borderId="29" xfId="0" applyFont="1" applyFill="1" applyBorder="1" applyAlignment="1">
      <alignment horizontal="center" vertical="center"/>
    </xf>
    <xf numFmtId="0" fontId="20" fillId="0" borderId="29" xfId="0" applyFont="1" applyBorder="1" applyAlignment="1">
      <alignment horizontal="left" vertical="center" wrapText="1" indent="1"/>
    </xf>
    <xf numFmtId="0" fontId="56" fillId="0" borderId="29" xfId="0" applyFont="1" applyBorder="1" applyAlignment="1">
      <alignment horizontal="left" vertical="center" wrapText="1" indent="1"/>
    </xf>
    <xf numFmtId="0" fontId="112" fillId="0" borderId="29" xfId="0" applyFont="1" applyBorder="1" applyAlignment="1">
      <alignment horizontal="left" vertical="center" wrapText="1" indent="1"/>
    </xf>
    <xf numFmtId="0" fontId="113" fillId="60" borderId="30" xfId="0" applyFont="1" applyFill="1" applyBorder="1" applyAlignment="1">
      <alignment horizontal="left" vertical="top" wrapText="1" indent="1"/>
    </xf>
    <xf numFmtId="0" fontId="111" fillId="58" borderId="29" xfId="0" applyFont="1" applyFill="1" applyBorder="1" applyAlignment="1">
      <alignment horizontal="center" vertical="center"/>
    </xf>
    <xf numFmtId="0" fontId="105" fillId="58" borderId="0" xfId="0" applyFont="1" applyFill="1" applyBorder="1" applyAlignment="1">
      <alignment horizontal="left" vertical="center"/>
    </xf>
    <xf numFmtId="0" fontId="58" fillId="0" borderId="0" xfId="0" applyFont="1" applyBorder="1"/>
    <xf numFmtId="0" fontId="83" fillId="0" borderId="0" xfId="0" applyFont="1" applyBorder="1" applyAlignment="1">
      <alignment horizontal="right" vertical="center" wrapText="1"/>
    </xf>
    <xf numFmtId="3" fontId="98" fillId="61" borderId="32" xfId="0" applyNumberFormat="1" applyFont="1" applyFill="1" applyBorder="1" applyAlignment="1">
      <alignment horizontal="center" vertical="center"/>
    </xf>
    <xf numFmtId="1" fontId="99" fillId="51" borderId="32" xfId="0" applyNumberFormat="1" applyFont="1" applyFill="1" applyBorder="1" applyAlignment="1">
      <alignment horizontal="center" vertical="center"/>
    </xf>
    <xf numFmtId="9" fontId="99" fillId="51" borderId="32" xfId="0" applyNumberFormat="1" applyFont="1" applyFill="1" applyBorder="1" applyAlignment="1">
      <alignment horizontal="center" vertical="center"/>
    </xf>
    <xf numFmtId="2" fontId="99" fillId="51" borderId="32" xfId="0" applyNumberFormat="1" applyFont="1" applyFill="1" applyBorder="1" applyAlignment="1">
      <alignment horizontal="center" vertical="center"/>
    </xf>
    <xf numFmtId="40" fontId="99" fillId="51" borderId="32" xfId="0" applyNumberFormat="1" applyFont="1" applyFill="1" applyBorder="1" applyAlignment="1">
      <alignment horizontal="center" vertical="center"/>
    </xf>
    <xf numFmtId="0" fontId="110" fillId="58" borderId="32" xfId="0" applyFont="1" applyFill="1" applyBorder="1" applyAlignment="1">
      <alignment horizontal="center" vertical="center" wrapText="1"/>
    </xf>
    <xf numFmtId="1" fontId="98" fillId="61" borderId="32" xfId="0" applyNumberFormat="1" applyFont="1" applyFill="1" applyBorder="1" applyAlignment="1">
      <alignment horizontal="center" vertical="center"/>
    </xf>
    <xf numFmtId="15" fontId="98" fillId="61" borderId="32" xfId="0" applyNumberFormat="1" applyFont="1" applyFill="1" applyBorder="1" applyAlignment="1">
      <alignment horizontal="center" vertical="center"/>
    </xf>
    <xf numFmtId="0" fontId="98" fillId="61" borderId="32" xfId="0" applyFont="1" applyFill="1" applyBorder="1" applyAlignment="1">
      <alignment horizontal="center" vertical="center"/>
    </xf>
    <xf numFmtId="0" fontId="98" fillId="61" borderId="32" xfId="0" applyFont="1" applyFill="1" applyBorder="1" applyAlignment="1">
      <alignment horizontal="left" vertical="center" wrapText="1"/>
    </xf>
    <xf numFmtId="0" fontId="100" fillId="51" borderId="32" xfId="0" applyFont="1" applyFill="1" applyBorder="1" applyAlignment="1">
      <alignment horizontal="center" vertical="center"/>
    </xf>
    <xf numFmtId="4" fontId="98" fillId="61" borderId="32" xfId="0" applyNumberFormat="1" applyFont="1" applyFill="1" applyBorder="1" applyAlignment="1">
      <alignment horizontal="center" vertical="center"/>
    </xf>
    <xf numFmtId="10" fontId="100" fillId="51" borderId="32" xfId="0" applyNumberFormat="1" applyFont="1" applyFill="1" applyBorder="1" applyAlignment="1">
      <alignment horizontal="center" vertical="center"/>
    </xf>
    <xf numFmtId="166" fontId="100" fillId="51" borderId="32" xfId="0" applyNumberFormat="1" applyFont="1" applyFill="1" applyBorder="1" applyAlignment="1">
      <alignment horizontal="center" vertical="center"/>
    </xf>
    <xf numFmtId="40" fontId="98" fillId="61" borderId="32" xfId="0" applyNumberFormat="1" applyFont="1" applyFill="1" applyBorder="1" applyAlignment="1">
      <alignment horizontal="center" vertical="center"/>
    </xf>
    <xf numFmtId="180" fontId="100" fillId="51" borderId="32" xfId="0" applyNumberFormat="1" applyFont="1" applyFill="1" applyBorder="1" applyAlignment="1">
      <alignment horizontal="center" vertical="center"/>
    </xf>
    <xf numFmtId="1" fontId="100" fillId="51" borderId="32" xfId="0" applyNumberFormat="1" applyFont="1" applyFill="1" applyBorder="1" applyAlignment="1">
      <alignment horizontal="center" vertical="center"/>
    </xf>
    <xf numFmtId="0" fontId="17" fillId="0" borderId="28" xfId="0" applyFont="1" applyBorder="1" applyAlignment="1">
      <alignment horizontal="center"/>
    </xf>
    <xf numFmtId="0" fontId="0" fillId="0" borderId="28" xfId="0" applyBorder="1"/>
    <xf numFmtId="0" fontId="7" fillId="0" borderId="7" xfId="0" applyFont="1" applyBorder="1" applyAlignment="1">
      <alignment horizontal="left" vertical="center" wrapText="1"/>
    </xf>
    <xf numFmtId="0" fontId="0" fillId="0" borderId="7" xfId="0" applyBorder="1"/>
    <xf numFmtId="0" fontId="2" fillId="0" borderId="31" xfId="0" applyFont="1" applyAlignment="1">
      <alignment horizontal="left" vertical="center" wrapText="1"/>
    </xf>
    <xf numFmtId="0" fontId="0" fillId="0" borderId="0" xfId="0" applyBorder="1"/>
    <xf numFmtId="0" fontId="18" fillId="0" borderId="31" xfId="0" applyFont="1" applyAlignment="1">
      <alignment horizontal="left" vertical="center"/>
    </xf>
    <xf numFmtId="0" fontId="16" fillId="0" borderId="1" xfId="0" applyFont="1" applyBorder="1" applyAlignment="1">
      <alignment horizontal="left" vertical="center" wrapText="1"/>
    </xf>
    <xf numFmtId="0" fontId="0" fillId="0" borderId="1" xfId="0" applyBorder="1"/>
    <xf numFmtId="0" fontId="64" fillId="0" borderId="7" xfId="0" applyFont="1" applyBorder="1" applyAlignment="1">
      <alignment horizontal="left" vertical="center" wrapText="1"/>
    </xf>
    <xf numFmtId="181" fontId="71" fillId="28" borderId="31" xfId="0" applyNumberFormat="1" applyFont="1" applyFill="1" applyAlignment="1">
      <alignment horizontal="center" vertical="center" wrapText="1"/>
    </xf>
    <xf numFmtId="0" fontId="20" fillId="29" borderId="29" xfId="0" applyFont="1" applyFill="1" applyBorder="1" applyAlignment="1">
      <alignment horizontal="center" vertical="center"/>
    </xf>
    <xf numFmtId="0" fontId="0" fillId="0" borderId="20" xfId="0" applyBorder="1"/>
    <xf numFmtId="0" fontId="20" fillId="0" borderId="29" xfId="0" applyFont="1" applyBorder="1" applyAlignment="1">
      <alignment horizontal="left" vertical="center" wrapText="1" indent="1"/>
    </xf>
    <xf numFmtId="0" fontId="71" fillId="28" borderId="31" xfId="0" applyFont="1" applyFill="1" applyAlignment="1">
      <alignment horizontal="center" vertical="center" wrapText="1"/>
    </xf>
    <xf numFmtId="0" fontId="70" fillId="30" borderId="29" xfId="0" applyFont="1" applyFill="1" applyBorder="1" applyAlignment="1">
      <alignment horizontal="center" vertical="center"/>
    </xf>
    <xf numFmtId="182" fontId="18" fillId="29" borderId="29" xfId="0" applyNumberFormat="1" applyFont="1" applyFill="1" applyBorder="1" applyAlignment="1">
      <alignment horizontal="center" vertical="center"/>
    </xf>
    <xf numFmtId="0" fontId="0" fillId="0" borderId="22" xfId="0" applyBorder="1"/>
    <xf numFmtId="0" fontId="18" fillId="29" borderId="29" xfId="0" applyFont="1" applyFill="1" applyBorder="1" applyAlignment="1">
      <alignment horizontal="center" vertical="center"/>
    </xf>
    <xf numFmtId="0" fontId="69" fillId="0" borderId="28" xfId="0" applyFont="1" applyBorder="1" applyAlignment="1">
      <alignment horizontal="center"/>
    </xf>
    <xf numFmtId="0" fontId="74" fillId="0" borderId="17" xfId="0" applyFont="1" applyBorder="1" applyAlignment="1">
      <alignment horizontal="left"/>
    </xf>
    <xf numFmtId="0" fontId="0" fillId="0" borderId="17" xfId="0" applyBorder="1"/>
    <xf numFmtId="0" fontId="20" fillId="29" borderId="29" xfId="0" applyFont="1" applyFill="1" applyBorder="1" applyAlignment="1">
      <alignment horizontal="left" vertical="center" indent="1"/>
    </xf>
    <xf numFmtId="0" fontId="67" fillId="0" borderId="31" xfId="0" applyFont="1"/>
    <xf numFmtId="183" fontId="18" fillId="29" borderId="29" xfId="0" applyNumberFormat="1" applyFont="1" applyFill="1" applyBorder="1" applyAlignment="1">
      <alignment horizontal="center" vertical="center"/>
    </xf>
    <xf numFmtId="0" fontId="88" fillId="0" borderId="31" xfId="0" applyFont="1" applyAlignment="1">
      <alignment horizontal="center" vertical="top" wrapText="1"/>
    </xf>
    <xf numFmtId="0" fontId="98" fillId="52" borderId="29" xfId="0" applyFont="1" applyFill="1" applyBorder="1" applyAlignment="1">
      <alignment horizontal="left" vertical="center" wrapText="1" indent="1"/>
    </xf>
    <xf numFmtId="0" fontId="100" fillId="51" borderId="29" xfId="0" applyFont="1" applyFill="1" applyBorder="1" applyAlignment="1">
      <alignment horizontal="left" vertical="center" wrapText="1" indent="1"/>
    </xf>
    <xf numFmtId="0" fontId="102" fillId="51" borderId="29" xfId="0" applyFont="1" applyFill="1" applyBorder="1" applyAlignment="1">
      <alignment horizontal="left" vertical="center" indent="1"/>
    </xf>
    <xf numFmtId="0" fontId="0" fillId="0" borderId="24" xfId="0" applyBorder="1"/>
    <xf numFmtId="0" fontId="0" fillId="0" borderId="25" xfId="0" applyBorder="1"/>
    <xf numFmtId="0" fontId="92" fillId="0" borderId="31" xfId="0" applyFont="1" applyAlignment="1">
      <alignment vertical="top" wrapText="1" indent="1"/>
    </xf>
    <xf numFmtId="0" fontId="94" fillId="50" borderId="31" xfId="0" applyFont="1" applyFill="1" applyAlignment="1">
      <alignment horizontal="center" vertical="center" wrapText="1"/>
    </xf>
    <xf numFmtId="0" fontId="93" fillId="0" borderId="28" xfId="0" applyFont="1" applyBorder="1" applyAlignment="1">
      <alignment horizontal="center"/>
    </xf>
    <xf numFmtId="0" fontId="92" fillId="0" borderId="31" xfId="0" applyFont="1" applyAlignment="1">
      <alignment vertical="center" wrapText="1" indent="1"/>
    </xf>
    <xf numFmtId="0" fontId="90" fillId="50" borderId="31" xfId="0" applyFont="1" applyFill="1" applyAlignment="1">
      <alignment horizontal="left" vertical="center"/>
    </xf>
    <xf numFmtId="0" fontId="92" fillId="0" borderId="31" xfId="0" applyFont="1" applyAlignment="1">
      <alignment horizontal="left" vertical="center" wrapText="1" indent="1"/>
    </xf>
    <xf numFmtId="0" fontId="0" fillId="0" borderId="19" xfId="0" applyBorder="1"/>
    <xf numFmtId="0" fontId="0" fillId="0" borderId="26" xfId="0" applyBorder="1"/>
    <xf numFmtId="0" fontId="0" fillId="0" borderId="27" xfId="0" applyBorder="1"/>
    <xf numFmtId="0" fontId="16" fillId="0" borderId="31" xfId="0" applyFont="1" applyAlignment="1">
      <alignment horizontal="left" vertical="center" wrapText="1"/>
    </xf>
    <xf numFmtId="0" fontId="2" fillId="3" borderId="29" xfId="0" applyFont="1" applyFill="1" applyBorder="1" applyAlignment="1">
      <alignment horizontal="left" vertical="center" wrapText="1"/>
    </xf>
    <xf numFmtId="0" fontId="3" fillId="2" borderId="29" xfId="0" applyFont="1" applyFill="1" applyBorder="1" applyAlignment="1">
      <alignment horizontal="left" vertical="center" wrapText="1"/>
    </xf>
    <xf numFmtId="0" fontId="8" fillId="3" borderId="29" xfId="0" applyFont="1" applyFill="1" applyBorder="1" applyAlignment="1">
      <alignment horizontal="left" vertical="center" wrapText="1"/>
    </xf>
    <xf numFmtId="0" fontId="50" fillId="20" borderId="31" xfId="0" applyFont="1" applyFill="1" applyAlignment="1">
      <alignment horizontal="left" vertical="center"/>
    </xf>
    <xf numFmtId="0" fontId="65" fillId="0" borderId="31" xfId="0" applyFont="1" applyAlignment="1">
      <alignment horizontal="center" vertical="center"/>
    </xf>
    <xf numFmtId="0" fontId="15" fillId="4" borderId="31" xfId="0" applyFont="1" applyFill="1" applyAlignment="1">
      <alignment horizontal="left" vertical="center"/>
    </xf>
    <xf numFmtId="0" fontId="16" fillId="0" borderId="2" xfId="0" applyFont="1" applyBorder="1" applyAlignment="1">
      <alignment horizontal="left" vertical="center" wrapText="1" indent="1"/>
    </xf>
    <xf numFmtId="0" fontId="115" fillId="0" borderId="31" xfId="0" applyFont="1" applyAlignment="1">
      <alignment horizontal="left" vertical="center" indent="1"/>
    </xf>
    <xf numFmtId="0" fontId="16" fillId="0" borderId="31" xfId="0" applyFont="1" applyAlignment="1">
      <alignment horizontal="left" vertical="center"/>
    </xf>
    <xf numFmtId="0" fontId="108" fillId="0" borderId="28" xfId="0" applyFont="1" applyBorder="1" applyAlignment="1">
      <alignment horizontal="center"/>
    </xf>
    <xf numFmtId="0" fontId="51" fillId="0" borderId="31" xfId="0" applyFont="1" applyAlignment="1">
      <alignment horizontal="left" vertical="center"/>
    </xf>
    <xf numFmtId="0" fontId="106" fillId="0" borderId="31" xfId="0" applyFont="1" applyAlignment="1">
      <alignment horizontal="left" vertical="center" wrapText="1" indent="1"/>
    </xf>
    <xf numFmtId="0" fontId="18" fillId="0" borderId="29" xfId="0" applyFont="1" applyBorder="1" applyAlignment="1">
      <alignment horizontal="left" vertical="center" wrapText="1" indent="1"/>
    </xf>
    <xf numFmtId="0" fontId="18" fillId="0" borderId="31" xfId="0" applyFont="1" applyAlignment="1">
      <alignment horizontal="left" vertical="center" wrapText="1"/>
    </xf>
  </cellXfs>
  <cellStyles count="1">
    <cellStyle name="Normal" xfId="0" builtinId="0"/>
  </cellStyles>
  <dxfs count="254">
    <dxf>
      <font>
        <b/>
        <color rgb="FF9C0006"/>
      </font>
      <fill>
        <patternFill patternType="solid">
          <fgColor rgb="FFFFC7CE"/>
          <bgColor rgb="FFFFC7CE"/>
        </patternFill>
      </fill>
    </dxf>
    <dxf>
      <font>
        <b/>
        <color rgb="FF9C5700"/>
      </font>
      <fill>
        <patternFill patternType="solid">
          <fgColor rgb="FFFFEB9C"/>
          <bgColor rgb="FFFFEB9C"/>
        </patternFill>
      </fill>
    </dxf>
    <dxf>
      <font>
        <b/>
        <color rgb="FF006100"/>
      </font>
      <fill>
        <patternFill patternType="solid">
          <fgColor rgb="FFC6EFCE"/>
          <bgColor rgb="FFC6EFCE"/>
        </patternFill>
      </fill>
    </dxf>
    <dxf>
      <font>
        <color rgb="FF9C5700"/>
      </font>
      <fill>
        <patternFill patternType="solid">
          <fgColor rgb="FFFFF2CC"/>
          <bgColor rgb="FFFFF2CC"/>
        </patternFill>
      </fill>
    </dxf>
    <dxf>
      <font>
        <b/>
        <color rgb="FF843C0C"/>
      </font>
      <fill>
        <patternFill patternType="solid">
          <fgColor rgb="FFFCE4D6"/>
          <bgColor rgb="FFFCE4D6"/>
        </patternFill>
      </fill>
    </dxf>
    <dxf>
      <font>
        <b/>
        <color rgb="FF1F2A44"/>
      </font>
      <fill>
        <patternFill patternType="solid">
          <fgColor rgb="FFDDEBF7"/>
          <bgColor rgb="FFDDEBF7"/>
        </patternFill>
      </fill>
    </dxf>
    <dxf>
      <font>
        <b/>
        <color rgb="FF404040"/>
      </font>
      <fill>
        <patternFill patternType="solid">
          <fgColor rgb="FFEDEDED"/>
          <bgColor rgb="FFEDEDED"/>
        </patternFill>
      </fill>
    </dxf>
    <dxf>
      <font>
        <b/>
        <color rgb="FF843C0C"/>
      </font>
      <fill>
        <patternFill patternType="solid">
          <fgColor rgb="FFFCE4D6"/>
          <bgColor rgb="FFFCE4D6"/>
        </patternFill>
      </fill>
    </dxf>
    <dxf>
      <font>
        <b/>
        <color rgb="FF1F2A44"/>
      </font>
      <fill>
        <patternFill patternType="solid">
          <fgColor rgb="FFDDEBF7"/>
          <bgColor rgb="FFDDEBF7"/>
        </patternFill>
      </fill>
    </dxf>
    <dxf>
      <font>
        <b/>
        <color rgb="FF006100"/>
        <name val="Arial"/>
        <charset val="1"/>
      </font>
      <fill>
        <patternFill>
          <bgColor rgb="FFC6EFCE"/>
        </patternFill>
      </fill>
    </dxf>
    <dxf>
      <font>
        <b/>
        <color rgb="FF9C5700"/>
        <name val="Arial"/>
        <charset val="1"/>
      </font>
      <fill>
        <patternFill>
          <bgColor rgb="FFFFEB9C"/>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5700"/>
        <name val="Arial"/>
        <charset val="1"/>
      </font>
      <fill>
        <patternFill>
          <bgColor rgb="FFFFEB9C"/>
        </patternFill>
      </fill>
    </dxf>
    <dxf>
      <font>
        <b/>
        <color rgb="FF9C57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595959"/>
        <name val="Arial"/>
        <charset val="1"/>
      </font>
      <fill>
        <patternFill>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595959"/>
      </font>
      <fill>
        <patternFill patternType="solid">
          <fgColor rgb="FFF2F2F2"/>
          <bgColor rgb="FFF2F2F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dxf>
    <dxf>
      <font>
        <b/>
        <color rgb="FF006100"/>
      </font>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b/>
        <color rgb="FF9C5700"/>
      </font>
      <fill>
        <patternFill patternType="solid">
          <fgColor rgb="FFFFEB9C"/>
          <bgColor rgb="FFFFEB9C"/>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595959"/>
      </font>
      <fill>
        <patternFill patternType="solid">
          <fgColor rgb="FFF2F2F2"/>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5700"/>
        <name val="Arial"/>
        <charset val="1"/>
      </font>
      <fill>
        <patternFill>
          <bgColor rgb="FFFFEB9C"/>
        </patternFill>
      </fill>
    </dxf>
    <dxf>
      <font>
        <b/>
        <color rgb="FFC00000"/>
        <name val="Arial"/>
        <charset val="1"/>
      </font>
    </dxf>
    <dxf>
      <font>
        <b/>
        <color rgb="FF0E5C55"/>
      </font>
      <fill>
        <patternFill patternType="solid">
          <fgColor rgb="FFD5EEEC"/>
          <bgColor rgb="FFD5EEEC"/>
        </patternFill>
      </fill>
    </dxf>
    <dxf>
      <font>
        <b/>
        <color rgb="FF5C4326"/>
      </font>
      <fill>
        <patternFill patternType="solid">
          <fgColor rgb="FFEFE6D5"/>
          <bgColor rgb="FFEFE6D5"/>
        </patternFill>
      </fill>
    </dxf>
    <dxf>
      <font>
        <b/>
        <color rgb="FF843C0C"/>
      </font>
      <fill>
        <patternFill patternType="solid">
          <fgColor rgb="FFFCE4D6"/>
          <bgColor rgb="FFFCE4D6"/>
        </patternFill>
      </fill>
    </dxf>
    <dxf>
      <font>
        <b/>
        <color rgb="FF5B2C83"/>
      </font>
      <fill>
        <patternFill patternType="solid">
          <fgColor rgb="FFE8D5F5"/>
          <bgColor rgb="FFE8D5F5"/>
        </patternFill>
      </fill>
    </dxf>
    <dxf>
      <font>
        <b/>
        <color rgb="FF9C0006"/>
        <name val="Arial"/>
        <charset val="1"/>
      </font>
    </dxf>
    <dxf>
      <font>
        <b/>
        <color rgb="FF006100"/>
        <name val="Arial"/>
        <charset val="1"/>
      </font>
    </dxf>
    <dxf>
      <font>
        <b/>
        <color rgb="FF9C5700"/>
      </font>
      <fill>
        <patternFill patternType="solid">
          <fgColor rgb="FFFFEB9C"/>
          <bgColor rgb="FFFFEB9C"/>
        </patternFill>
      </fill>
    </dxf>
    <dxf>
      <font>
        <b/>
        <color rgb="FF595959"/>
        <name val="Arial"/>
        <charset val="1"/>
      </font>
      <fill>
        <patternFill>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5700"/>
      </font>
      <fill>
        <patternFill patternType="solid">
          <fgColor rgb="FFFFEB9C"/>
          <bgColor rgb="FFFFEB9C"/>
        </patternFill>
      </fill>
    </dxf>
    <dxf>
      <font>
        <b/>
        <color rgb="FF9C57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5700"/>
      </font>
      <fill>
        <patternFill patternType="solid">
          <fgColor rgb="FFFFEB9C"/>
          <bgColor rgb="FFFFEB9C"/>
        </patternFill>
      </fill>
    </dxf>
    <dxf>
      <font>
        <b/>
        <color rgb="FF595959"/>
        <name val="Arial"/>
        <charset val="1"/>
      </font>
      <fill>
        <patternFill>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dxf>
    <dxf>
      <font>
        <b/>
        <color rgb="FF006100"/>
        <name val="Arial"/>
        <charset val="1"/>
      </font>
    </dxf>
    <dxf>
      <font>
        <b/>
        <color rgb="FF595959"/>
      </font>
      <fill>
        <patternFill patternType="solid">
          <fgColor rgb="FFF2F2F2"/>
          <bgColor rgb="FFF2F2F2"/>
        </patternFill>
      </fill>
    </dxf>
    <dxf>
      <font>
        <b/>
        <color rgb="FFFFFFFF"/>
      </font>
      <fill>
        <patternFill patternType="solid">
          <fgColor rgb="FF548235"/>
          <bgColor rgb="FF548235"/>
        </patternFill>
      </fill>
    </dxf>
    <dxf>
      <font>
        <b/>
        <color rgb="FFFFFFFF"/>
      </font>
      <fill>
        <patternFill patternType="solid">
          <fgColor rgb="FF00807F"/>
          <bgColor rgb="FF00807F"/>
        </patternFill>
      </fill>
    </dxf>
    <dxf>
      <font>
        <b/>
        <color rgb="FFFFFFFF"/>
      </font>
      <fill>
        <patternFill patternType="solid">
          <fgColor rgb="FFC00078"/>
          <bgColor rgb="FFC00078"/>
        </patternFill>
      </fill>
    </dxf>
    <dxf>
      <font>
        <b/>
        <color rgb="FFFFFFFF"/>
      </font>
      <fill>
        <patternFill patternType="solid">
          <fgColor rgb="FF595959"/>
          <bgColor rgb="FF595959"/>
        </patternFill>
      </fill>
    </dxf>
    <dxf>
      <font>
        <b/>
        <color rgb="FF5B2C83"/>
      </font>
      <fill>
        <patternFill patternType="solid">
          <fgColor rgb="FFE8D5F5"/>
          <bgColor rgb="FFE8D5F5"/>
        </patternFill>
      </fill>
    </dxf>
    <dxf>
      <font>
        <b/>
        <color rgb="FFFFFFFF"/>
      </font>
      <fill>
        <patternFill patternType="solid">
          <fgColor rgb="FF5B2C83"/>
          <bgColor rgb="FF5B2C83"/>
        </patternFill>
      </fill>
    </dxf>
    <dxf>
      <font>
        <b/>
        <color rgb="FF595959"/>
      </font>
      <fill>
        <patternFill patternType="solid">
          <fgColor rgb="FFF2F2F2"/>
          <bgColor rgb="FFF2F2F2"/>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0000"/>
      </font>
      <fill>
        <patternFill patternType="solid">
          <fgColor rgb="FFD4AF37"/>
          <bgColor rgb="FFD4AF37"/>
        </patternFill>
      </fill>
    </dxf>
    <dxf>
      <font>
        <b/>
        <color rgb="FFC00000"/>
      </font>
      <fill>
        <patternFill patternType="solid">
          <fgColor rgb="FFFFDE00"/>
          <bgColor rgb="FFFFDE00"/>
        </patternFill>
      </fill>
    </dxf>
    <dxf>
      <font>
        <b/>
        <color rgb="FFC00000"/>
      </font>
      <fill>
        <patternFill patternType="solid">
          <fgColor rgb="FFD9D9D9"/>
          <bgColor rgb="FFD9D9D9"/>
        </patternFill>
      </fill>
    </dxf>
    <dxf>
      <font>
        <b/>
        <color rgb="FF8B0000"/>
      </font>
      <fill>
        <patternFill patternType="solid">
          <fgColor rgb="FFF4B6B6"/>
          <bgColor rgb="FFF4B6B6"/>
        </patternFill>
      </fill>
    </dxf>
    <dxf>
      <font>
        <b/>
        <color rgb="FFFFFFFF"/>
      </font>
      <fill>
        <patternFill patternType="solid"/>
      </fill>
    </dxf>
    <dxf>
      <font>
        <b/>
        <color rgb="FF000000"/>
      </font>
      <fill>
        <patternFill patternType="solid">
          <fgColor rgb="FFF28C28"/>
          <bgColor rgb="FFF28C28"/>
        </patternFill>
      </fill>
    </dxf>
    <dxf>
      <font>
        <b/>
        <color rgb="FFBC002D"/>
      </font>
      <fill>
        <patternFill patternType="solid">
          <fgColor rgb="FFFFFFFF"/>
          <bgColor rgb="FFFFFFFF"/>
        </patternFill>
      </fill>
    </dxf>
    <dxf>
      <font>
        <b/>
        <color rgb="FFFFFFFF"/>
      </font>
      <fill>
        <patternFill patternType="solid">
          <fgColor rgb="FF012169"/>
          <bgColor rgb="FF012169"/>
        </patternFill>
      </fill>
    </dxf>
    <dxf>
      <font>
        <b/>
        <color rgb="FFFFFFFF"/>
      </font>
      <fill>
        <patternFill patternType="solid">
          <fgColor rgb="FF5B9BD5"/>
          <bgColor rgb="FF5B9BD5"/>
        </patternFill>
      </fill>
    </dxf>
    <dxf>
      <font>
        <b/>
        <color rgb="FFFFFFFF"/>
      </font>
      <fill>
        <patternFill patternType="solid">
          <fgColor rgb="FFB22234"/>
          <bgColor rgb="FFB22234"/>
        </patternFill>
      </fill>
    </dxf>
    <dxf>
      <font>
        <color rgb="FFA6A6A6"/>
      </font>
    </dxf>
    <dxf>
      <fill>
        <patternFill patternType="solid">
          <fgColor rgb="FFFFF2CC"/>
          <bgColor rgb="FFFFF2CC"/>
        </patternFill>
      </fill>
    </dxf>
    <dxf>
      <font>
        <b/>
        <color rgb="FF595959"/>
        <name val="Arial"/>
        <charset val="1"/>
      </font>
      <fill>
        <patternFill>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000000"/>
      </font>
      <fill>
        <patternFill patternType="solid">
          <fgColor rgb="FFD4AF37"/>
          <bgColor rgb="FFD4AF37"/>
        </patternFill>
      </fill>
    </dxf>
    <dxf>
      <font>
        <b/>
        <color rgb="FFFFFFFF"/>
      </font>
      <fill>
        <patternFill patternType="solid">
          <fgColor rgb="FF5B9BD5"/>
          <bgColor rgb="FF5B9BD5"/>
        </patternFill>
      </fill>
    </dxf>
    <dxf>
      <font>
        <b/>
        <color rgb="FFFFFFFF"/>
      </font>
      <fill>
        <patternFill patternType="solid">
          <fgColor rgb="FFB22234"/>
          <bgColor rgb="FFB22234"/>
        </patternFill>
      </fill>
    </dxf>
    <dxf>
      <font>
        <b/>
        <color rgb="FFC00000"/>
      </font>
      <fill>
        <patternFill patternType="solid">
          <fgColor rgb="FFFFDE00"/>
          <bgColor rgb="FFFFDE00"/>
        </patternFill>
      </fill>
    </dxf>
    <dxf>
      <font>
        <b/>
        <color rgb="FFC00000"/>
      </font>
      <fill>
        <patternFill patternType="solid">
          <fgColor rgb="FFD9D9D9"/>
          <bgColor rgb="FFD9D9D9"/>
        </patternFill>
      </fill>
    </dxf>
    <dxf>
      <font>
        <b/>
        <color rgb="FF8B0000"/>
      </font>
      <fill>
        <patternFill patternType="solid">
          <fgColor rgb="FFF4B6B6"/>
          <bgColor rgb="FFF4B6B6"/>
        </patternFill>
      </fill>
    </dxf>
    <dxf>
      <font>
        <b/>
        <color rgb="FFFFFFFF"/>
      </font>
      <fill>
        <patternFill patternType="solid"/>
      </fill>
    </dxf>
    <dxf>
      <font>
        <b/>
        <color rgb="FF000000"/>
      </font>
      <fill>
        <patternFill patternType="solid">
          <fgColor rgb="FFF28C28"/>
          <bgColor rgb="FFF28C28"/>
        </patternFill>
      </fill>
    </dxf>
    <dxf>
      <font>
        <b/>
        <color rgb="FFBC002D"/>
      </font>
      <fill>
        <patternFill patternType="solid">
          <fgColor rgb="FFFFFFFF"/>
          <bgColor rgb="FFFFFFFF"/>
        </patternFill>
      </fill>
    </dxf>
    <dxf>
      <font>
        <b/>
        <color rgb="FFFFFFFF"/>
      </font>
      <fill>
        <patternFill patternType="solid">
          <fgColor rgb="FF012169"/>
          <bgColor rgb="FF012169"/>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000000"/>
      </font>
      <fill>
        <patternFill patternType="solid">
          <fgColor rgb="FFD4AF37"/>
          <bgColor rgb="FFD4AF37"/>
        </patternFill>
      </fill>
    </dxf>
    <dxf>
      <font>
        <b/>
        <color rgb="FFC00000"/>
      </font>
      <fill>
        <patternFill patternType="solid">
          <fgColor rgb="FFFFDE00"/>
          <bgColor rgb="FFFFDE00"/>
        </patternFill>
      </fill>
    </dxf>
    <dxf>
      <font>
        <b/>
        <color rgb="FFC00000"/>
      </font>
      <fill>
        <patternFill patternType="solid">
          <fgColor rgb="FFD9D9D9"/>
          <bgColor rgb="FFD9D9D9"/>
        </patternFill>
      </fill>
    </dxf>
    <dxf>
      <font>
        <b/>
        <color rgb="FF8B0000"/>
      </font>
      <fill>
        <patternFill patternType="solid">
          <fgColor rgb="FFF4B6B6"/>
          <bgColor rgb="FFF4B6B6"/>
        </patternFill>
      </fill>
    </dxf>
    <dxf>
      <font>
        <b/>
        <color rgb="FFFFFFFF"/>
      </font>
      <fill>
        <patternFill patternType="solid"/>
      </fill>
    </dxf>
    <dxf>
      <font>
        <b/>
        <color rgb="FF000000"/>
      </font>
      <fill>
        <patternFill patternType="solid">
          <fgColor rgb="FFF28C28"/>
          <bgColor rgb="FFF28C28"/>
        </patternFill>
      </fill>
    </dxf>
    <dxf>
      <font>
        <b/>
        <color rgb="FFBC002D"/>
      </font>
      <fill>
        <patternFill patternType="solid">
          <fgColor rgb="FFFFFFFF"/>
          <bgColor rgb="FFFFFFFF"/>
        </patternFill>
      </fill>
    </dxf>
    <dxf>
      <font>
        <b/>
        <color rgb="FFFFFFFF"/>
      </font>
      <fill>
        <patternFill patternType="solid">
          <fgColor rgb="FF012169"/>
          <bgColor rgb="FF012169"/>
        </patternFill>
      </fill>
    </dxf>
    <dxf>
      <font>
        <b/>
        <color rgb="FFFFFFFF"/>
      </font>
      <fill>
        <patternFill patternType="solid">
          <fgColor rgb="FF5B9BD5"/>
          <bgColor rgb="FF5B9BD5"/>
        </patternFill>
      </fill>
    </dxf>
    <dxf>
      <font>
        <b/>
        <color rgb="FFFFFFFF"/>
      </font>
      <fill>
        <patternFill patternType="solid">
          <fgColor rgb="FFB22234"/>
          <bgColor rgb="FFB22234"/>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dxf>
    <dxf>
      <font>
        <b/>
        <color rgb="FF006100"/>
      </font>
    </dxf>
    <dxf>
      <font>
        <b/>
        <color rgb="FF9C0006"/>
      </font>
      <fill>
        <patternFill patternType="solid">
          <fgColor rgb="FFFFC7CE"/>
          <bgColor rgb="FFFFC7CE"/>
        </patternFill>
      </fill>
    </dxf>
    <dxf>
      <font>
        <b/>
        <color rgb="FF595959"/>
      </font>
      <fill>
        <patternFill patternType="solid">
          <fgColor rgb="FFF2F2F2"/>
          <bgColor rgb="FFF2F2F2"/>
        </patternFill>
      </fill>
    </dxf>
    <dxf>
      <font>
        <b/>
        <color rgb="FF006100"/>
      </font>
      <fill>
        <patternFill patternType="solid">
          <fgColor rgb="FFC6EFCE"/>
          <bgColor rgb="FFC6EFCE"/>
        </patternFill>
      </fill>
    </dxf>
    <dxf>
      <font>
        <b/>
        <color rgb="FF006100"/>
      </font>
    </dxf>
    <dxf>
      <font>
        <b/>
        <color rgb="FF9C0006"/>
      </font>
    </dxf>
    <dxf>
      <font>
        <b/>
        <color rgb="FF006100"/>
      </font>
      <fill>
        <patternFill patternType="solid">
          <fgColor rgb="FFC6EFCE"/>
          <bgColor rgb="FFC6EFCE"/>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9C0006"/>
      </font>
    </dxf>
    <dxf>
      <font>
        <b/>
        <color rgb="FF006100"/>
      </font>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dxf>
    <dxf>
      <font>
        <b/>
        <color rgb="FF006100"/>
      </font>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595959"/>
      </font>
      <fill>
        <patternFill patternType="solid">
          <fgColor rgb="FFF2F2F2"/>
          <bgColor rgb="FFF2F2F2"/>
        </patternFill>
      </fill>
    </dxf>
    <dxf>
      <font>
        <b/>
        <color rgb="FF006100"/>
      </font>
    </dxf>
    <dxf>
      <font>
        <b/>
        <color rgb="FF9C0006"/>
      </font>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595959"/>
      </font>
      <fill>
        <patternFill patternType="solid">
          <fgColor rgb="FFF2F2F2"/>
          <bgColor rgb="FFF2F2F2"/>
        </patternFill>
      </fill>
    </dxf>
    <dxf>
      <font>
        <b/>
        <color rgb="FF006100"/>
      </font>
      <fill>
        <patternFill patternType="solid">
          <fgColor rgb="FFC6EFCE"/>
          <bgColor rgb="FFC6EFCE"/>
        </patternFill>
      </fill>
    </dxf>
    <dxf>
      <font>
        <b/>
        <color rgb="FF006100"/>
      </font>
      <fill>
        <patternFill patternType="solid">
          <fgColor rgb="FFC6EFCE"/>
          <bgColor rgb="FFC6EFCE"/>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595959"/>
      </font>
      <fill>
        <patternFill patternType="solid">
          <fgColor rgb="FFF2F2F2"/>
          <bgColor rgb="FFF2F2F2"/>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595959"/>
      </font>
      <fill>
        <patternFill patternType="solid">
          <fgColor rgb="FFF2F2F2"/>
          <bgColor rgb="FFF2F2F2"/>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595959"/>
      </font>
      <fill>
        <patternFill patternType="solid">
          <fgColor rgb="FFF2F2F2"/>
          <bgColor rgb="FFF2F2F2"/>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595959"/>
      </font>
      <fill>
        <patternFill patternType="solid">
          <fgColor rgb="FFF2F2F2"/>
          <bgColor rgb="FFF2F2F2"/>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9C0006"/>
        <name val="Arial"/>
        <charset val="1"/>
      </font>
      <fill>
        <patternFill>
          <bgColor rgb="FFFFC7CE"/>
        </patternFill>
      </fill>
    </dxf>
    <dxf>
      <font>
        <b/>
        <color rgb="FF9C5700"/>
      </font>
      <fill>
        <patternFill patternType="solid">
          <fgColor rgb="FFFFEB9C"/>
          <bgColor rgb="FFFFEB9C"/>
        </patternFill>
      </fill>
    </dxf>
    <dxf>
      <font>
        <b/>
        <color rgb="FF595959"/>
        <name val="Arial"/>
        <charset val="1"/>
      </font>
      <fill>
        <patternFill>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9C5700"/>
        <name val="Arial"/>
        <charset val="1"/>
      </font>
      <fill>
        <patternFill>
          <bgColor rgb="FFFFEB9C"/>
        </patternFill>
      </fill>
    </dxf>
    <dxf>
      <font>
        <b/>
        <color rgb="FF9C5700"/>
      </font>
      <fill>
        <patternFill patternType="solid">
          <fgColor rgb="FFFFEB9C"/>
          <bgColor rgb="FFFFEB9C"/>
        </patternFill>
      </fill>
    </dxf>
    <dxf>
      <font>
        <b/>
        <color rgb="FF595959"/>
        <name val="Arial"/>
        <charset val="1"/>
      </font>
      <fill>
        <patternFill>
          <bgColor rgb="FFF2F2F2"/>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000000"/>
      </font>
      <fill>
        <patternFill patternType="solid">
          <fgColor rgb="FFD4AF37"/>
          <bgColor rgb="FFD4AF37"/>
        </patternFill>
      </fill>
    </dxf>
    <dxf>
      <font>
        <b/>
        <color rgb="FFC00000"/>
      </font>
      <fill>
        <patternFill patternType="solid">
          <fgColor rgb="FFFFDE00"/>
          <bgColor rgb="FFFFDE00"/>
        </patternFill>
      </fill>
    </dxf>
    <dxf>
      <font>
        <b/>
        <color rgb="FFC00000"/>
      </font>
      <fill>
        <patternFill patternType="solid">
          <fgColor rgb="FFD9D9D9"/>
          <bgColor rgb="FFD9D9D9"/>
        </patternFill>
      </fill>
    </dxf>
    <dxf>
      <font>
        <b/>
        <color rgb="FF8B0000"/>
      </font>
      <fill>
        <patternFill patternType="solid">
          <fgColor rgb="FFF4B6B6"/>
          <bgColor rgb="FFF4B6B6"/>
        </patternFill>
      </fill>
    </dxf>
    <dxf>
      <font>
        <b/>
        <color rgb="FFFFFFFF"/>
      </font>
      <fill>
        <patternFill patternType="solid"/>
      </fill>
    </dxf>
    <dxf>
      <font>
        <b/>
        <color rgb="FF000000"/>
      </font>
      <fill>
        <patternFill patternType="solid">
          <fgColor rgb="FFF28C28"/>
          <bgColor rgb="FFF28C28"/>
        </patternFill>
      </fill>
    </dxf>
    <dxf>
      <font>
        <b/>
        <color rgb="FFBC002D"/>
      </font>
      <fill>
        <patternFill patternType="solid">
          <fgColor rgb="FFFFFFFF"/>
          <bgColor rgb="FFFFFFFF"/>
        </patternFill>
      </fill>
    </dxf>
    <dxf>
      <font>
        <b/>
        <color rgb="FFFFFFFF"/>
      </font>
      <fill>
        <patternFill patternType="solid">
          <fgColor rgb="FF012169"/>
          <bgColor rgb="FF012169"/>
        </patternFill>
      </fill>
    </dxf>
    <dxf>
      <font>
        <b/>
        <color rgb="FFFFFFFF"/>
      </font>
      <fill>
        <patternFill patternType="solid">
          <fgColor rgb="FF5B9BD5"/>
          <bgColor rgb="FF5B9BD5"/>
        </patternFill>
      </fill>
    </dxf>
    <dxf>
      <font>
        <b/>
        <color rgb="FFFFFFFF"/>
      </font>
      <fill>
        <patternFill patternType="solid">
          <fgColor rgb="FFB22234"/>
          <bgColor rgb="FFB22234"/>
        </patternFill>
      </fill>
    </dxf>
    <dxf>
      <font>
        <b/>
        <color rgb="FF1F2A44"/>
      </font>
      <fill>
        <patternFill patternType="solid">
          <fgColor rgb="FFDDEBF7"/>
          <bgColor rgb="FFDDEBF7"/>
        </patternFill>
      </fill>
    </dxf>
    <dxf>
      <font>
        <b/>
        <color rgb="FFFFFFFF"/>
      </font>
      <fill>
        <patternFill patternType="solid">
          <fgColor rgb="FF1F2A44"/>
          <bgColor rgb="FF1F2A44"/>
        </patternFill>
      </fill>
    </dxf>
    <dxf>
      <font>
        <color rgb="FFD0D0D0"/>
      </font>
    </dxf>
    <dxf>
      <font>
        <b/>
        <color rgb="FF1F2A44"/>
      </font>
      <fill>
        <patternFill patternType="solid">
          <fgColor rgb="FFDDEBF7"/>
          <bgColor rgb="FFDDEBF7"/>
        </patternFill>
      </fill>
    </dxf>
    <dxf>
      <font>
        <b/>
        <color rgb="FFFFFFFF"/>
      </font>
      <fill>
        <patternFill patternType="solid">
          <fgColor rgb="FF1F2A44"/>
          <bgColor rgb="FF1F2A44"/>
        </patternFill>
      </fill>
    </dxf>
    <dxf>
      <font>
        <color rgb="FFD0D0D0"/>
      </font>
    </dxf>
    <dxf>
      <font>
        <b/>
        <color rgb="FF1F2A44"/>
      </font>
      <fill>
        <patternFill patternType="solid">
          <fgColor rgb="FFDDEBF7"/>
          <bgColor rgb="FFDDEBF7"/>
        </patternFill>
      </fill>
    </dxf>
    <dxf>
      <font>
        <b/>
        <color rgb="FFFFFFFF"/>
      </font>
      <fill>
        <patternFill patternType="solid">
          <fgColor rgb="FF1F2A44"/>
          <bgColor rgb="FF1F2A44"/>
        </patternFill>
      </fill>
    </dxf>
    <dxf>
      <font>
        <color rgb="FFD0D0D0"/>
      </font>
    </dxf>
    <dxf>
      <font>
        <b/>
        <color rgb="FF1F2A44"/>
      </font>
      <fill>
        <patternFill patternType="solid">
          <fgColor rgb="FFDDEBF7"/>
          <bgColor rgb="FFDDEBF7"/>
        </patternFill>
      </fill>
    </dxf>
    <dxf>
      <font>
        <b/>
        <color rgb="FFFFFFFF"/>
      </font>
      <fill>
        <patternFill patternType="solid">
          <fgColor rgb="FF1F2A44"/>
          <bgColor rgb="FF1F2A44"/>
        </patternFill>
      </fill>
    </dxf>
    <dxf>
      <font>
        <color rgb="FFD0D0D0"/>
      </font>
    </dxf>
    <dxf>
      <fill>
        <patternFill patternType="solid">
          <fgColor rgb="FFFFF2CC"/>
          <bgColor rgb="FFFFF2CC"/>
        </patternFill>
      </fill>
    </dxf>
    <dxf>
      <font>
        <b/>
        <color rgb="FF595959"/>
      </font>
      <fill>
        <patternFill patternType="solid">
          <fgColor rgb="FFF2F2F2"/>
          <bgColor rgb="FFF2F2F2"/>
        </patternFill>
      </fill>
    </dxf>
    <dxf>
      <font>
        <b/>
        <color rgb="FFFFFFFF"/>
      </font>
      <fill>
        <patternFill patternType="solid">
          <fgColor rgb="FF548235"/>
          <bgColor rgb="FF548235"/>
        </patternFill>
      </fill>
    </dxf>
    <dxf>
      <font>
        <b/>
        <color rgb="FFFFFFFF"/>
      </font>
      <fill>
        <patternFill patternType="solid">
          <fgColor rgb="FF00807F"/>
          <bgColor rgb="FF00807F"/>
        </patternFill>
      </fill>
    </dxf>
    <dxf>
      <font>
        <b/>
        <color rgb="FFFFFFFF"/>
      </font>
      <fill>
        <patternFill patternType="solid">
          <fgColor rgb="FFC00078"/>
          <bgColor rgb="FFC00078"/>
        </patternFill>
      </fill>
    </dxf>
    <dxf>
      <font>
        <b/>
        <color rgb="FFFFFFFF"/>
      </font>
      <fill>
        <patternFill patternType="solid">
          <fgColor rgb="FF595959"/>
          <bgColor rgb="FF595959"/>
        </patternFill>
      </fill>
    </dxf>
    <dxf>
      <font>
        <b/>
        <color rgb="FF5B2C83"/>
      </font>
      <fill>
        <patternFill patternType="solid">
          <fgColor rgb="FFE8D5F5"/>
          <bgColor rgb="FFE8D5F5"/>
        </patternFill>
      </fill>
    </dxf>
    <dxf>
      <font>
        <b/>
        <color rgb="FFFFFFFF"/>
      </font>
      <fill>
        <patternFill patternType="solid">
          <fgColor rgb="FF5B2C83"/>
          <bgColor rgb="FF5B2C83"/>
        </patternFill>
      </fill>
    </dxf>
    <dxf>
      <font>
        <b/>
        <color rgb="FFFFFFFF"/>
      </font>
      <fill>
        <patternFill patternType="solid">
          <fgColor rgb="FFBF8F00"/>
          <bgColor rgb="FFBF8F00"/>
        </patternFill>
      </fill>
    </dxf>
    <dxf>
      <fill>
        <patternFill patternType="solid">
          <fgColor rgb="FFFFF2CC"/>
          <bgColor rgb="FFFFF2CC"/>
        </patternFill>
      </fill>
    </dxf>
    <dxf>
      <font>
        <b/>
        <color rgb="FF5B2C83"/>
      </font>
      <fill>
        <patternFill patternType="solid">
          <fgColor rgb="FFE8D5F5"/>
          <bgColor rgb="FFE8D5F5"/>
        </patternFill>
      </fill>
    </dxf>
    <dxf>
      <font>
        <b/>
        <color rgb="FF595959"/>
      </font>
      <fill>
        <patternFill patternType="solid">
          <fgColor rgb="FFF2F2F2"/>
          <bgColor rgb="FFF2F2F2"/>
        </patternFill>
      </fill>
    </dxf>
    <dxf>
      <font>
        <b/>
        <color rgb="FFFFFFFF"/>
      </font>
      <fill>
        <patternFill patternType="solid">
          <fgColor rgb="FF548235"/>
          <bgColor rgb="FF548235"/>
        </patternFill>
      </fill>
    </dxf>
    <dxf>
      <font>
        <b/>
        <color rgb="FFFFFFFF"/>
      </font>
      <fill>
        <patternFill patternType="solid">
          <fgColor rgb="FF00807F"/>
          <bgColor rgb="FF00807F"/>
        </patternFill>
      </fill>
    </dxf>
    <dxf>
      <font>
        <b/>
        <color rgb="FFFFFFFF"/>
      </font>
      <fill>
        <patternFill patternType="solid">
          <fgColor rgb="FFC00078"/>
          <bgColor rgb="FFC00078"/>
        </patternFill>
      </fill>
    </dxf>
    <dxf>
      <font>
        <b/>
        <color rgb="FFFFFFFF"/>
      </font>
      <fill>
        <patternFill patternType="solid">
          <fgColor rgb="FF595959"/>
          <bgColor rgb="FF595959"/>
        </patternFill>
      </fill>
    </dxf>
    <dxf>
      <font>
        <b/>
        <color rgb="FFFFFFFF"/>
      </font>
      <fill>
        <patternFill patternType="solid">
          <fgColor rgb="FF5B2C83"/>
          <bgColor rgb="FF5B2C83"/>
        </patternFill>
      </fill>
    </dxf>
    <dxf>
      <font>
        <b/>
        <color rgb="FFFFFFFF"/>
      </font>
      <fill>
        <patternFill patternType="solid">
          <fgColor rgb="FFBF8F00"/>
          <bgColor rgb="FFBF8F00"/>
        </patternFill>
      </fill>
    </dxf>
    <dxf>
      <fill>
        <patternFill patternType="solid">
          <fgColor rgb="FFFFF2CC"/>
          <bgColor rgb="FFFFF2CC"/>
        </patternFill>
      </fill>
    </dxf>
    <dxf>
      <font>
        <b/>
        <color rgb="FF595959"/>
      </font>
      <fill>
        <patternFill patternType="solid">
          <fgColor rgb="FFF2F2F2"/>
          <bgColor rgb="FFF2F2F2"/>
        </patternFill>
      </fill>
    </dxf>
    <dxf>
      <font>
        <b/>
        <color rgb="FFFFFFFF"/>
      </font>
      <fill>
        <patternFill patternType="solid">
          <fgColor rgb="FF548235"/>
          <bgColor rgb="FF548235"/>
        </patternFill>
      </fill>
    </dxf>
    <dxf>
      <font>
        <b/>
        <color rgb="FFFFFFFF"/>
      </font>
      <fill>
        <patternFill patternType="solid">
          <fgColor rgb="FF00807F"/>
          <bgColor rgb="FF00807F"/>
        </patternFill>
      </fill>
    </dxf>
    <dxf>
      <font>
        <b/>
        <color rgb="FFFFFFFF"/>
      </font>
      <fill>
        <patternFill patternType="solid">
          <fgColor rgb="FFC00078"/>
          <bgColor rgb="FFC00078"/>
        </patternFill>
      </fill>
    </dxf>
    <dxf>
      <font>
        <b/>
        <color rgb="FFFFFFFF"/>
      </font>
      <fill>
        <patternFill patternType="solid">
          <fgColor rgb="FF595959"/>
          <bgColor rgb="FF595959"/>
        </patternFill>
      </fill>
    </dxf>
    <dxf>
      <font>
        <b/>
        <color rgb="FF5B2C83"/>
      </font>
      <fill>
        <patternFill patternType="solid">
          <fgColor rgb="FFE8D5F5"/>
          <bgColor rgb="FFE8D5F5"/>
        </patternFill>
      </fill>
    </dxf>
    <dxf>
      <font>
        <b/>
        <color rgb="FFFFFFFF"/>
      </font>
      <fill>
        <patternFill patternType="solid">
          <fgColor rgb="FF5B2C83"/>
          <bgColor rgb="FF5B2C83"/>
        </patternFill>
      </fill>
    </dxf>
    <dxf>
      <font>
        <b/>
        <color rgb="FFFFFFFF"/>
      </font>
      <fill>
        <patternFill patternType="solid">
          <fgColor rgb="FFBF8F00"/>
          <bgColor rgb="FFBF8F00"/>
        </patternFill>
      </fill>
    </dxf>
    <dxf>
      <fill>
        <patternFill patternType="solid">
          <fgColor rgb="FFFFF2CC"/>
          <bgColor rgb="FFFFF2CC"/>
        </patternFill>
      </fill>
    </dxf>
    <dxf>
      <font>
        <b/>
        <color rgb="FF595959"/>
      </font>
      <fill>
        <patternFill patternType="solid">
          <fgColor rgb="FFF2F2F2"/>
          <bgColor rgb="FFF2F2F2"/>
        </patternFill>
      </fill>
    </dxf>
    <dxf>
      <font>
        <b/>
        <color rgb="FFFFFFFF"/>
      </font>
      <fill>
        <patternFill patternType="solid">
          <fgColor rgb="FF548235"/>
          <bgColor rgb="FF548235"/>
        </patternFill>
      </fill>
    </dxf>
    <dxf>
      <font>
        <b/>
        <color rgb="FFFFFFFF"/>
      </font>
      <fill>
        <patternFill patternType="solid">
          <fgColor rgb="FF00807F"/>
          <bgColor rgb="FF00807F"/>
        </patternFill>
      </fill>
    </dxf>
    <dxf>
      <font>
        <b/>
        <color rgb="FFFFFFFF"/>
      </font>
      <fill>
        <patternFill patternType="solid">
          <fgColor rgb="FFC00078"/>
          <bgColor rgb="FFC00078"/>
        </patternFill>
      </fill>
    </dxf>
    <dxf>
      <font>
        <b/>
        <color rgb="FFFFFFFF"/>
      </font>
      <fill>
        <patternFill patternType="solid">
          <fgColor rgb="FF595959"/>
          <bgColor rgb="FF595959"/>
        </patternFill>
      </fill>
    </dxf>
    <dxf>
      <font>
        <b/>
        <color rgb="FF5B2C83"/>
      </font>
      <fill>
        <patternFill patternType="solid">
          <fgColor rgb="FFE8D5F5"/>
          <bgColor rgb="FFE8D5F5"/>
        </patternFill>
      </fill>
    </dxf>
    <dxf>
      <font>
        <b/>
        <color rgb="FFFFFFFF"/>
      </font>
      <fill>
        <patternFill patternType="solid">
          <fgColor rgb="FF5B2C83"/>
          <bgColor rgb="FF5B2C83"/>
        </patternFill>
      </fill>
    </dxf>
    <dxf>
      <font>
        <b/>
        <color rgb="FFFFFFFF"/>
      </font>
      <fill>
        <patternFill patternType="solid">
          <fgColor rgb="FFBF8F00"/>
          <bgColor rgb="FFBF8F00"/>
        </patternFill>
      </fill>
    </dxf>
    <dxf>
      <fill>
        <patternFill patternType="solid">
          <fgColor rgb="FFFFF2CC"/>
          <bgColor rgb="FFFFF2CC"/>
        </patternFill>
      </fill>
    </dxf>
    <dxf>
      <font>
        <b/>
        <color rgb="FF595959"/>
      </font>
      <fill>
        <patternFill patternType="solid">
          <fgColor rgb="FFF2F2F2"/>
          <bgColor rgb="FFF2F2F2"/>
        </patternFill>
      </fill>
    </dxf>
    <dxf>
      <font>
        <b/>
        <color rgb="FFFFFFFF"/>
      </font>
      <fill>
        <patternFill patternType="solid">
          <fgColor rgb="FF548235"/>
          <bgColor rgb="FF548235"/>
        </patternFill>
      </fill>
    </dxf>
    <dxf>
      <font>
        <b/>
        <color rgb="FFFFFFFF"/>
      </font>
      <fill>
        <patternFill patternType="solid">
          <fgColor rgb="FF00807F"/>
          <bgColor rgb="FF00807F"/>
        </patternFill>
      </fill>
    </dxf>
    <dxf>
      <font>
        <b/>
        <color rgb="FFFFFFFF"/>
      </font>
      <fill>
        <patternFill patternType="solid">
          <fgColor rgb="FFC00078"/>
          <bgColor rgb="FFC00078"/>
        </patternFill>
      </fill>
    </dxf>
    <dxf>
      <font>
        <b/>
        <color rgb="FFFFFFFF"/>
      </font>
      <fill>
        <patternFill patternType="solid">
          <fgColor rgb="FF595959"/>
          <bgColor rgb="FF595959"/>
        </patternFill>
      </fill>
    </dxf>
    <dxf>
      <font>
        <b/>
        <color rgb="FF5B2C83"/>
      </font>
      <fill>
        <patternFill patternType="solid">
          <fgColor rgb="FFE8D5F5"/>
          <bgColor rgb="FFE8D5F5"/>
        </patternFill>
      </fill>
    </dxf>
    <dxf>
      <font>
        <b/>
        <color rgb="FFFFFFFF"/>
      </font>
      <fill>
        <patternFill patternType="solid">
          <fgColor rgb="FF5B2C83"/>
          <bgColor rgb="FF5B2C83"/>
        </patternFill>
      </fill>
    </dxf>
    <dxf>
      <font>
        <b/>
        <color rgb="FFFFFFFF"/>
      </font>
      <fill>
        <patternFill patternType="solid">
          <fgColor rgb="FFBF8F00"/>
          <bgColor rgb="FFBF8F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595959"/>
      <rgbColor rgb="FF9999FF"/>
      <rgbColor rgb="FFC62828"/>
      <rgbColor rgb="FFFFF2CC"/>
      <rgbColor rgb="FFD6EAF8"/>
      <rgbColor rgb="FF660066"/>
      <rgbColor rgb="FFFF8080"/>
      <rgbColor rgb="FF0563C1"/>
      <rgbColor rgb="FFE8D5F5"/>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99999"/>
      <rgbColor rgb="FF1B4F72"/>
      <rgbColor rgb="FF2E7D32"/>
      <rgbColor rgb="FF006100"/>
      <rgbColor rgb="FF333300"/>
      <rgbColor rgb="FF9C5700"/>
      <rgbColor rgb="FF993366"/>
      <rgbColor rgb="FF5B2C83"/>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rba.gov.au/monetary-policy/" TargetMode="External"/><Relationship Id="rId18" Type="http://schemas.openxmlformats.org/officeDocument/2006/relationships/hyperlink" Target="https://news.google.com/search?q=%22Reserve%20Bank%20of%20New%20Zealand%22%20OR%20%22New%20Zealand%20dollar%22" TargetMode="External"/><Relationship Id="rId26" Type="http://schemas.openxmlformats.org/officeDocument/2006/relationships/hyperlink" Target="https://www.gold.org/goldhub/data/gold-reserves-by-country" TargetMode="External"/><Relationship Id="rId3" Type="http://schemas.openxmlformats.org/officeDocument/2006/relationships/hyperlink" Target="https://news.google.com/search?q=%22Federal%20Reserve%22%20OR%20%22US%20dollar%22" TargetMode="External"/><Relationship Id="rId21" Type="http://schemas.openxmlformats.org/officeDocument/2006/relationships/hyperlink" Target="https://news.google.com/search?q=%22Bank%20of%20Canada%22%20OR%20%22Canadian%20dollar%22" TargetMode="External"/><Relationship Id="rId34" Type="http://schemas.openxmlformats.org/officeDocument/2006/relationships/hyperlink" Target="https://finviz.com/futures.ashx" TargetMode="External"/><Relationship Id="rId7" Type="http://schemas.openxmlformats.org/officeDocument/2006/relationships/hyperlink" Target="https://www.bankofengland.co.uk/monetary-policy" TargetMode="External"/><Relationship Id="rId12" Type="http://schemas.openxmlformats.org/officeDocument/2006/relationships/hyperlink" Target="https://news.google.com/search?q=%22Bank%20of%20Japan%22%20OR%20yen" TargetMode="External"/><Relationship Id="rId17" Type="http://schemas.openxmlformats.org/officeDocument/2006/relationships/hyperlink" Target="https://tradingeconomics.com/new-zealand/indicators" TargetMode="External"/><Relationship Id="rId25" Type="http://schemas.openxmlformats.org/officeDocument/2006/relationships/hyperlink" Target="https://ticdata.treasury.gov/resource-center/data-chart-center/tic/Documents/slt_table5.html" TargetMode="External"/><Relationship Id="rId33" Type="http://schemas.openxmlformats.org/officeDocument/2006/relationships/hyperlink" Target="https://www.tradingview.com/chart/" TargetMode="External"/><Relationship Id="rId2" Type="http://schemas.openxmlformats.org/officeDocument/2006/relationships/hyperlink" Target="https://tradingeconomics.com/united-states/indicators" TargetMode="External"/><Relationship Id="rId16" Type="http://schemas.openxmlformats.org/officeDocument/2006/relationships/hyperlink" Target="https://www.rbnz.govt.nz/" TargetMode="External"/><Relationship Id="rId20" Type="http://schemas.openxmlformats.org/officeDocument/2006/relationships/hyperlink" Target="https://tradingeconomics.com/canada/indicators" TargetMode="External"/><Relationship Id="rId29" Type="http://schemas.openxmlformats.org/officeDocument/2006/relationships/hyperlink" Target="https://www.cftc.gov/MarketReports/CommitmentsofTraders/index.htm" TargetMode="External"/><Relationship Id="rId1" Type="http://schemas.openxmlformats.org/officeDocument/2006/relationships/hyperlink" Target="https://www.federalreserve.gov/monetarypolicy.htm" TargetMode="External"/><Relationship Id="rId6" Type="http://schemas.openxmlformats.org/officeDocument/2006/relationships/hyperlink" Target="https://news.google.com/search?q=%22European%20Central%20Bank%22%20OR%20euro" TargetMode="External"/><Relationship Id="rId11" Type="http://schemas.openxmlformats.org/officeDocument/2006/relationships/hyperlink" Target="https://tradingeconomics.com/japan/indicators" TargetMode="External"/><Relationship Id="rId24" Type="http://schemas.openxmlformats.org/officeDocument/2006/relationships/hyperlink" Target="https://news.google.com/search?q=%22Swiss%20National%20Bank%22%20OR%20franc" TargetMode="External"/><Relationship Id="rId32" Type="http://schemas.openxmlformats.org/officeDocument/2006/relationships/hyperlink" Target="https://fred.stlouisfed.org/series/BAMLH0A0HYM2" TargetMode="External"/><Relationship Id="rId5" Type="http://schemas.openxmlformats.org/officeDocument/2006/relationships/hyperlink" Target="https://tradingeconomics.com/euro-area/indicators" TargetMode="External"/><Relationship Id="rId15" Type="http://schemas.openxmlformats.org/officeDocument/2006/relationships/hyperlink" Target="https://news.google.com/search?q=%22Reserve%20Bank%20of%20Australia%22%20OR%20%22Australian%20dollar%22" TargetMode="External"/><Relationship Id="rId23" Type="http://schemas.openxmlformats.org/officeDocument/2006/relationships/hyperlink" Target="https://tradingeconomics.com/switzerland/indicators" TargetMode="External"/><Relationship Id="rId28" Type="http://schemas.openxmlformats.org/officeDocument/2006/relationships/hyperlink" Target="https://www.mof.go.jp/english/policy/international_policy/reference/feio/index.html" TargetMode="External"/><Relationship Id="rId10" Type="http://schemas.openxmlformats.org/officeDocument/2006/relationships/hyperlink" Target="https://www.boj.or.jp/en/mopo/index.htm" TargetMode="External"/><Relationship Id="rId19" Type="http://schemas.openxmlformats.org/officeDocument/2006/relationships/hyperlink" Target="https://www.bankofcanada.ca/core-functions/monetary-policy/" TargetMode="External"/><Relationship Id="rId31" Type="http://schemas.openxmlformats.org/officeDocument/2006/relationships/hyperlink" Target="https://www.tradingview.com/chart/" TargetMode="External"/><Relationship Id="rId4" Type="http://schemas.openxmlformats.org/officeDocument/2006/relationships/hyperlink" Target="https://www.ecb.europa.eu/mopo/html/index.en.html" TargetMode="External"/><Relationship Id="rId9" Type="http://schemas.openxmlformats.org/officeDocument/2006/relationships/hyperlink" Target="https://news.google.com/search?q=%22Bank%20of%20England%22%20OR%20sterling" TargetMode="External"/><Relationship Id="rId14" Type="http://schemas.openxmlformats.org/officeDocument/2006/relationships/hyperlink" Target="https://tradingeconomics.com/australia/indicators" TargetMode="External"/><Relationship Id="rId22" Type="http://schemas.openxmlformats.org/officeDocument/2006/relationships/hyperlink" Target="https://www.snb.ch/en/the-snb/mandates-goals/monetary-policy" TargetMode="External"/><Relationship Id="rId27" Type="http://schemas.openxmlformats.org/officeDocument/2006/relationships/hyperlink" Target="https://data.imf.org/cofer" TargetMode="External"/><Relationship Id="rId30" Type="http://schemas.openxmlformats.org/officeDocument/2006/relationships/hyperlink" Target="https://www.tradingview.com/symbols/FX-AUDJPY/" TargetMode="External"/><Relationship Id="rId35" Type="http://schemas.openxmlformats.org/officeDocument/2006/relationships/hyperlink" Target="https://www.cnn.com/markets/fear-and-greed" TargetMode="External"/><Relationship Id="rId8" Type="http://schemas.openxmlformats.org/officeDocument/2006/relationships/hyperlink" Target="https://tradingeconomics.com/united-kingdom/indic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2A44"/>
    <pageSetUpPr fitToPage="1"/>
  </sheetPr>
  <dimension ref="A1:G58"/>
  <sheetViews>
    <sheetView showGridLines="0" zoomScaleNormal="100" workbookViewId="0">
      <pane ySplit="2" topLeftCell="A14" activePane="bottomLeft" state="frozen"/>
      <selection pane="bottomLeft" activeCell="F23" sqref="F23"/>
    </sheetView>
  </sheetViews>
  <sheetFormatPr defaultColWidth="8.7109375" defaultRowHeight="15" x14ac:dyDescent="0.25"/>
  <cols>
    <col min="1" max="1" width="34" customWidth="1"/>
    <col min="2" max="2" width="29.5703125" customWidth="1"/>
    <col min="3" max="3" width="70" customWidth="1"/>
    <col min="4" max="4" width="3" customWidth="1"/>
    <col min="5" max="5" width="26" customWidth="1"/>
    <col min="6" max="6" width="64" customWidth="1"/>
    <col min="7" max="7" width="36" customWidth="1"/>
  </cols>
  <sheetData>
    <row r="1" spans="1:7" ht="33.950000000000003" customHeight="1" x14ac:dyDescent="0.25">
      <c r="A1" s="2" t="s">
        <v>67</v>
      </c>
      <c r="B1" s="3"/>
      <c r="C1" s="3"/>
      <c r="D1" s="3"/>
      <c r="E1" s="3"/>
      <c r="F1" s="3"/>
      <c r="G1" s="3"/>
    </row>
    <row r="2" spans="1:7" ht="20.100000000000001" customHeight="1" x14ac:dyDescent="0.25">
      <c r="A2" s="4" t="s">
        <v>68</v>
      </c>
    </row>
    <row r="3" spans="1:7" ht="8.1" customHeight="1" x14ac:dyDescent="0.25">
      <c r="A3" s="1"/>
      <c r="B3" s="1"/>
      <c r="C3" s="1"/>
    </row>
    <row r="4" spans="1:7" ht="24" customHeight="1" thickBot="1" x14ac:dyDescent="0.3">
      <c r="A4" s="268" t="s">
        <v>69</v>
      </c>
      <c r="B4" s="269"/>
      <c r="C4" s="269"/>
      <c r="E4" s="268" t="s">
        <v>70</v>
      </c>
      <c r="F4" s="269"/>
      <c r="G4" s="269"/>
    </row>
    <row r="5" spans="1:7" ht="21.95" customHeight="1" x14ac:dyDescent="0.25">
      <c r="A5" s="272" t="s">
        <v>71</v>
      </c>
      <c r="B5" s="273"/>
      <c r="C5" s="273"/>
      <c r="E5" s="8" t="s">
        <v>72</v>
      </c>
      <c r="F5" s="9" t="s">
        <v>73</v>
      </c>
      <c r="G5" s="9" t="s">
        <v>74</v>
      </c>
    </row>
    <row r="6" spans="1:7" ht="19.899999999999999" customHeight="1" x14ac:dyDescent="0.25">
      <c r="A6" s="272" t="s">
        <v>75</v>
      </c>
      <c r="B6" s="273"/>
      <c r="C6" s="273"/>
      <c r="E6" s="10" t="s">
        <v>76</v>
      </c>
      <c r="F6" s="11" t="s">
        <v>77</v>
      </c>
      <c r="G6" s="11" t="s">
        <v>78</v>
      </c>
    </row>
    <row r="7" spans="1:7" ht="19.899999999999999" customHeight="1" x14ac:dyDescent="0.25">
      <c r="A7" s="272" t="s">
        <v>79</v>
      </c>
      <c r="B7" s="273"/>
      <c r="C7" s="273"/>
      <c r="E7" s="10" t="s">
        <v>80</v>
      </c>
      <c r="F7" s="11" t="s">
        <v>81</v>
      </c>
      <c r="G7" s="11" t="s">
        <v>82</v>
      </c>
    </row>
    <row r="8" spans="1:7" ht="19.899999999999999" customHeight="1" x14ac:dyDescent="0.25">
      <c r="A8" s="272" t="s">
        <v>83</v>
      </c>
      <c r="B8" s="273"/>
      <c r="C8" s="273"/>
      <c r="E8" s="10" t="s">
        <v>84</v>
      </c>
      <c r="F8" s="11" t="s">
        <v>85</v>
      </c>
      <c r="G8" s="11" t="s">
        <v>86</v>
      </c>
    </row>
    <row r="9" spans="1:7" ht="19.899999999999999" customHeight="1" x14ac:dyDescent="0.25">
      <c r="A9" s="272" t="s">
        <v>87</v>
      </c>
      <c r="B9" s="273"/>
      <c r="C9" s="273"/>
      <c r="E9" s="10" t="s">
        <v>88</v>
      </c>
      <c r="F9" s="11" t="s">
        <v>89</v>
      </c>
      <c r="G9" s="11" t="s">
        <v>86</v>
      </c>
    </row>
    <row r="10" spans="1:7" ht="19.899999999999999" customHeight="1" x14ac:dyDescent="0.25">
      <c r="A10" s="272" t="s">
        <v>90</v>
      </c>
      <c r="B10" s="273"/>
      <c r="C10" s="273"/>
      <c r="E10" s="10" t="s">
        <v>91</v>
      </c>
      <c r="F10" s="11" t="s">
        <v>92</v>
      </c>
      <c r="G10" s="11" t="s">
        <v>86</v>
      </c>
    </row>
    <row r="11" spans="1:7" ht="19.899999999999999" customHeight="1" x14ac:dyDescent="0.25">
      <c r="A11" s="7"/>
      <c r="B11" s="7"/>
      <c r="C11" s="7"/>
      <c r="E11" s="10" t="s">
        <v>93</v>
      </c>
      <c r="F11" s="11" t="s">
        <v>94</v>
      </c>
      <c r="G11" s="11" t="s">
        <v>95</v>
      </c>
    </row>
    <row r="12" spans="1:7" ht="24" customHeight="1" thickBot="1" x14ac:dyDescent="0.3">
      <c r="A12" s="268" t="s">
        <v>96</v>
      </c>
      <c r="B12" s="269"/>
      <c r="C12" s="269"/>
      <c r="E12" s="10" t="s">
        <v>97</v>
      </c>
      <c r="F12" s="11" t="s">
        <v>98</v>
      </c>
      <c r="G12" s="11" t="s">
        <v>99</v>
      </c>
    </row>
    <row r="13" spans="1:7" ht="30" customHeight="1" x14ac:dyDescent="0.25">
      <c r="A13" s="274" t="s">
        <v>100</v>
      </c>
      <c r="B13" s="273"/>
      <c r="C13" s="273"/>
      <c r="E13" s="10" t="s">
        <v>101</v>
      </c>
      <c r="F13" s="11" t="s">
        <v>102</v>
      </c>
      <c r="G13" s="11" t="s">
        <v>103</v>
      </c>
    </row>
    <row r="14" spans="1:7" ht="26.25" customHeight="1" thickBot="1" x14ac:dyDescent="0.3">
      <c r="A14" s="274" t="s">
        <v>104</v>
      </c>
      <c r="B14" s="273"/>
      <c r="C14" s="273"/>
      <c r="E14" s="10" t="s">
        <v>105</v>
      </c>
      <c r="F14" s="11" t="s">
        <v>106</v>
      </c>
      <c r="G14" s="11" t="s">
        <v>107</v>
      </c>
    </row>
    <row r="15" spans="1:7" ht="26.25" customHeight="1" x14ac:dyDescent="0.25">
      <c r="A15" s="274" t="s">
        <v>108</v>
      </c>
      <c r="B15" s="273"/>
      <c r="C15" s="273"/>
      <c r="E15" s="10" t="s">
        <v>109</v>
      </c>
      <c r="F15" s="11" t="s">
        <v>110</v>
      </c>
      <c r="G15" s="11" t="s">
        <v>111</v>
      </c>
    </row>
    <row r="16" spans="1:7" ht="26.25" customHeight="1" x14ac:dyDescent="0.25">
      <c r="A16" s="274" t="s">
        <v>112</v>
      </c>
      <c r="B16" s="273"/>
      <c r="C16" s="273"/>
      <c r="E16" s="180" t="s">
        <v>113</v>
      </c>
      <c r="F16" s="181" t="s">
        <v>114</v>
      </c>
      <c r="G16" s="181" t="s">
        <v>115</v>
      </c>
    </row>
    <row r="17" spans="1:7" ht="20.100000000000001" customHeight="1" x14ac:dyDescent="0.25">
      <c r="A17" s="7"/>
      <c r="B17" s="7"/>
      <c r="C17" s="7"/>
      <c r="E17" s="225" t="s">
        <v>116</v>
      </c>
      <c r="F17" s="226" t="s">
        <v>117</v>
      </c>
      <c r="G17" s="226" t="s">
        <v>118</v>
      </c>
    </row>
    <row r="18" spans="1:7" ht="20.100000000000001" customHeight="1" thickBot="1" x14ac:dyDescent="0.3">
      <c r="A18" s="268" t="s">
        <v>119</v>
      </c>
      <c r="B18" s="269"/>
      <c r="C18" s="269"/>
      <c r="E18" s="225" t="s">
        <v>120</v>
      </c>
      <c r="F18" s="226" t="s">
        <v>121</v>
      </c>
      <c r="G18" s="226" t="s">
        <v>122</v>
      </c>
    </row>
    <row r="19" spans="1:7" ht="26.1" customHeight="1" x14ac:dyDescent="0.25">
      <c r="A19" s="9" t="s">
        <v>123</v>
      </c>
      <c r="B19" s="18" t="s">
        <v>124</v>
      </c>
      <c r="C19" s="9" t="s">
        <v>125</v>
      </c>
      <c r="E19" s="268" t="s">
        <v>126</v>
      </c>
      <c r="F19" s="269"/>
      <c r="G19" s="269"/>
    </row>
    <row r="20" spans="1:7" ht="28.7" customHeight="1" x14ac:dyDescent="0.25">
      <c r="A20" s="20" t="s">
        <v>127</v>
      </c>
      <c r="B20" s="21">
        <v>0.5</v>
      </c>
      <c r="C20" s="22" t="s">
        <v>128</v>
      </c>
      <c r="E20" s="12" t="s">
        <v>129</v>
      </c>
      <c r="F20" s="13"/>
      <c r="G20" s="13"/>
    </row>
    <row r="21" spans="1:7" ht="24" customHeight="1" x14ac:dyDescent="0.25">
      <c r="A21" s="20" t="s">
        <v>130</v>
      </c>
      <c r="B21" s="21">
        <v>0.2</v>
      </c>
      <c r="C21" s="22" t="s">
        <v>131</v>
      </c>
      <c r="E21" s="14" t="s">
        <v>132</v>
      </c>
      <c r="F21" s="11" t="s">
        <v>133</v>
      </c>
      <c r="G21" s="15" t="s">
        <v>134</v>
      </c>
    </row>
    <row r="22" spans="1:7" ht="28.7" customHeight="1" x14ac:dyDescent="0.25">
      <c r="A22" s="20" t="s">
        <v>135</v>
      </c>
      <c r="B22" s="21">
        <v>52</v>
      </c>
      <c r="C22" s="22" t="s">
        <v>136</v>
      </c>
      <c r="E22" s="16" t="s">
        <v>137</v>
      </c>
      <c r="F22" s="11" t="s">
        <v>138</v>
      </c>
      <c r="G22" s="15" t="s">
        <v>134</v>
      </c>
    </row>
    <row r="23" spans="1:7" ht="28.7" customHeight="1" x14ac:dyDescent="0.25">
      <c r="A23" s="20" t="s">
        <v>139</v>
      </c>
      <c r="B23" s="21">
        <v>48</v>
      </c>
      <c r="C23" s="22" t="s">
        <v>140</v>
      </c>
      <c r="E23" s="17" t="s">
        <v>141</v>
      </c>
      <c r="F23" s="11" t="s">
        <v>142</v>
      </c>
      <c r="G23" s="15" t="s">
        <v>143</v>
      </c>
    </row>
    <row r="24" spans="1:7" ht="21.95" customHeight="1" x14ac:dyDescent="0.25">
      <c r="A24" s="20" t="s">
        <v>144</v>
      </c>
      <c r="B24" s="21">
        <v>15</v>
      </c>
      <c r="C24" s="22" t="s">
        <v>145</v>
      </c>
      <c r="E24" s="19" t="s">
        <v>146</v>
      </c>
      <c r="F24" s="11" t="s">
        <v>147</v>
      </c>
      <c r="G24" s="15" t="s">
        <v>134</v>
      </c>
    </row>
    <row r="25" spans="1:7" ht="28.7" customHeight="1" x14ac:dyDescent="0.25">
      <c r="A25" s="20" t="s">
        <v>148</v>
      </c>
      <c r="B25" s="21">
        <v>2</v>
      </c>
      <c r="C25" s="22" t="s">
        <v>149</v>
      </c>
      <c r="E25" s="23" t="s">
        <v>150</v>
      </c>
      <c r="F25" s="11" t="s">
        <v>151</v>
      </c>
      <c r="G25" s="15" t="s">
        <v>152</v>
      </c>
    </row>
    <row r="26" spans="1:7" ht="33.75" customHeight="1" x14ac:dyDescent="0.25">
      <c r="A26" s="20" t="s">
        <v>153</v>
      </c>
      <c r="B26" s="21">
        <v>2</v>
      </c>
      <c r="C26" s="22" t="s">
        <v>154</v>
      </c>
      <c r="E26" s="24" t="s">
        <v>155</v>
      </c>
      <c r="F26" s="11" t="s">
        <v>156</v>
      </c>
      <c r="G26" s="15" t="s">
        <v>134</v>
      </c>
    </row>
    <row r="27" spans="1:7" ht="33.75" customHeight="1" x14ac:dyDescent="0.25">
      <c r="A27" s="20" t="s">
        <v>157</v>
      </c>
      <c r="B27" s="21">
        <v>10</v>
      </c>
      <c r="C27" s="22" t="s">
        <v>158</v>
      </c>
      <c r="E27" s="25" t="s">
        <v>159</v>
      </c>
      <c r="F27" s="11" t="s">
        <v>160</v>
      </c>
      <c r="G27" s="15" t="s">
        <v>161</v>
      </c>
    </row>
    <row r="28" spans="1:7" ht="33.75" customHeight="1" x14ac:dyDescent="0.25">
      <c r="A28" s="20" t="s">
        <v>162</v>
      </c>
      <c r="B28" s="21">
        <v>18</v>
      </c>
      <c r="C28" s="22" t="s">
        <v>163</v>
      </c>
      <c r="E28" s="26" t="s">
        <v>164</v>
      </c>
      <c r="F28" s="11" t="s">
        <v>165</v>
      </c>
      <c r="G28" s="15" t="s">
        <v>166</v>
      </c>
    </row>
    <row r="29" spans="1:7" ht="33.75" customHeight="1" x14ac:dyDescent="0.25">
      <c r="A29" s="20" t="s">
        <v>167</v>
      </c>
      <c r="B29" s="21">
        <v>30</v>
      </c>
      <c r="C29" s="22" t="s">
        <v>168</v>
      </c>
      <c r="E29" s="27" t="s">
        <v>169</v>
      </c>
      <c r="F29" s="11" t="s">
        <v>170</v>
      </c>
      <c r="G29" s="15" t="s">
        <v>171</v>
      </c>
    </row>
    <row r="30" spans="1:7" ht="33.75" customHeight="1" x14ac:dyDescent="0.25">
      <c r="A30" s="20" t="s">
        <v>172</v>
      </c>
      <c r="B30" s="21">
        <v>15</v>
      </c>
      <c r="C30" s="22" t="s">
        <v>173</v>
      </c>
      <c r="E30" s="12" t="s">
        <v>174</v>
      </c>
      <c r="F30" s="13"/>
      <c r="G30" s="13"/>
    </row>
    <row r="31" spans="1:7" ht="33.75" customHeight="1" x14ac:dyDescent="0.25">
      <c r="A31" s="20" t="s">
        <v>175</v>
      </c>
      <c r="B31" s="21">
        <v>1</v>
      </c>
      <c r="C31" s="22" t="s">
        <v>176</v>
      </c>
      <c r="E31" s="28" t="s">
        <v>177</v>
      </c>
      <c r="F31" s="11" t="s">
        <v>178</v>
      </c>
      <c r="G31" s="15" t="s">
        <v>179</v>
      </c>
    </row>
    <row r="32" spans="1:7" ht="33.75" customHeight="1" x14ac:dyDescent="0.25">
      <c r="A32" s="20" t="s">
        <v>180</v>
      </c>
      <c r="B32" s="21">
        <v>2</v>
      </c>
      <c r="C32" s="22" t="s">
        <v>181</v>
      </c>
      <c r="E32" s="29" t="s">
        <v>60</v>
      </c>
      <c r="F32" s="11" t="s">
        <v>182</v>
      </c>
      <c r="G32" s="15" t="s">
        <v>179</v>
      </c>
    </row>
    <row r="33" spans="1:7" ht="33.75" customHeight="1" x14ac:dyDescent="0.25">
      <c r="A33" s="20" t="s">
        <v>183</v>
      </c>
      <c r="B33" s="21">
        <v>0.5</v>
      </c>
      <c r="C33" s="22" t="s">
        <v>184</v>
      </c>
      <c r="E33" s="30" t="s">
        <v>185</v>
      </c>
      <c r="F33" s="11" t="s">
        <v>186</v>
      </c>
      <c r="G33" s="15" t="s">
        <v>187</v>
      </c>
    </row>
    <row r="34" spans="1:7" ht="28.7" customHeight="1" x14ac:dyDescent="0.25">
      <c r="A34" s="20" t="s">
        <v>188</v>
      </c>
      <c r="B34" s="21">
        <v>7</v>
      </c>
      <c r="C34" s="22" t="s">
        <v>189</v>
      </c>
      <c r="E34" s="31" t="s">
        <v>54</v>
      </c>
      <c r="F34" s="11" t="s">
        <v>190</v>
      </c>
      <c r="G34" s="15" t="s">
        <v>179</v>
      </c>
    </row>
    <row r="35" spans="1:7" ht="19.899999999999999" customHeight="1" x14ac:dyDescent="0.25">
      <c r="A35" s="275" t="s">
        <v>191</v>
      </c>
      <c r="B35" s="276"/>
      <c r="C35" s="276"/>
      <c r="E35" s="32" t="s">
        <v>192</v>
      </c>
      <c r="F35" s="11" t="s">
        <v>193</v>
      </c>
      <c r="G35" s="15" t="s">
        <v>194</v>
      </c>
    </row>
    <row r="36" spans="1:7" ht="21.95" customHeight="1" x14ac:dyDescent="0.25">
      <c r="A36" s="7"/>
      <c r="B36" s="7"/>
      <c r="C36" s="7"/>
      <c r="E36" s="33" t="s">
        <v>195</v>
      </c>
      <c r="F36" s="11" t="s">
        <v>196</v>
      </c>
      <c r="G36" s="15" t="s">
        <v>194</v>
      </c>
    </row>
    <row r="37" spans="1:7" ht="24" customHeight="1" thickBot="1" x14ac:dyDescent="0.3">
      <c r="A37" s="268" t="s">
        <v>197</v>
      </c>
      <c r="B37" s="269"/>
      <c r="C37" s="269"/>
      <c r="E37" s="34" t="s">
        <v>198</v>
      </c>
      <c r="F37" s="11" t="s">
        <v>199</v>
      </c>
      <c r="G37" s="15" t="s">
        <v>200</v>
      </c>
    </row>
    <row r="38" spans="1:7" ht="31.15" customHeight="1" x14ac:dyDescent="0.25">
      <c r="A38" s="39" t="s">
        <v>201</v>
      </c>
      <c r="B38" s="277" t="s">
        <v>202</v>
      </c>
      <c r="C38" s="271"/>
      <c r="E38" s="35" t="s">
        <v>198</v>
      </c>
      <c r="F38" s="11" t="s">
        <v>203</v>
      </c>
      <c r="G38" s="15" t="s">
        <v>200</v>
      </c>
    </row>
    <row r="39" spans="1:7" ht="24" customHeight="1" x14ac:dyDescent="0.25">
      <c r="A39" s="39" t="s">
        <v>204</v>
      </c>
      <c r="B39" s="270" t="s">
        <v>205</v>
      </c>
      <c r="C39" s="271"/>
      <c r="E39" s="12" t="s">
        <v>206</v>
      </c>
      <c r="F39" s="13"/>
      <c r="G39" s="13"/>
    </row>
    <row r="40" spans="1:7" ht="31.15" customHeight="1" x14ac:dyDescent="0.25">
      <c r="A40" s="39" t="s">
        <v>207</v>
      </c>
      <c r="B40" s="270" t="s">
        <v>208</v>
      </c>
      <c r="C40" s="271"/>
      <c r="E40" s="36" t="s">
        <v>209</v>
      </c>
      <c r="F40" s="11" t="s">
        <v>210</v>
      </c>
      <c r="G40" s="15" t="s">
        <v>211</v>
      </c>
    </row>
    <row r="41" spans="1:7" ht="31.15" customHeight="1" x14ac:dyDescent="0.25">
      <c r="A41" s="39" t="s">
        <v>212</v>
      </c>
      <c r="B41" s="270" t="s">
        <v>213</v>
      </c>
      <c r="C41" s="271"/>
      <c r="E41" s="37" t="s">
        <v>214</v>
      </c>
      <c r="F41" s="11" t="s">
        <v>215</v>
      </c>
      <c r="G41" s="15" t="s">
        <v>211</v>
      </c>
    </row>
    <row r="42" spans="1:7" ht="24" customHeight="1" x14ac:dyDescent="0.25">
      <c r="A42" s="39" t="s">
        <v>216</v>
      </c>
      <c r="B42" s="270" t="s">
        <v>217</v>
      </c>
      <c r="C42" s="271"/>
      <c r="E42" s="38" t="s">
        <v>218</v>
      </c>
      <c r="F42" s="11" t="s">
        <v>219</v>
      </c>
      <c r="G42" s="15" t="s">
        <v>211</v>
      </c>
    </row>
    <row r="43" spans="1:7" ht="31.15" customHeight="1" x14ac:dyDescent="0.25">
      <c r="E43" s="40" t="s">
        <v>30</v>
      </c>
      <c r="F43" s="11" t="s">
        <v>220</v>
      </c>
      <c r="G43" s="15" t="s">
        <v>211</v>
      </c>
    </row>
    <row r="44" spans="1:7" ht="19.899999999999999" customHeight="1" x14ac:dyDescent="0.25">
      <c r="E44" s="41" t="s">
        <v>221</v>
      </c>
      <c r="F44" s="11" t="s">
        <v>222</v>
      </c>
      <c r="G44" s="15" t="s">
        <v>211</v>
      </c>
    </row>
    <row r="45" spans="1:7" ht="28.7" customHeight="1" x14ac:dyDescent="0.25">
      <c r="E45" s="12" t="s">
        <v>223</v>
      </c>
      <c r="F45" s="13"/>
      <c r="G45" s="13"/>
    </row>
    <row r="46" spans="1:7" ht="28.7" customHeight="1" x14ac:dyDescent="0.25">
      <c r="E46" s="19" t="s">
        <v>224</v>
      </c>
      <c r="F46" s="11" t="s">
        <v>225</v>
      </c>
      <c r="G46" s="15" t="s">
        <v>226</v>
      </c>
    </row>
    <row r="47" spans="1:7" ht="20.100000000000001" customHeight="1" x14ac:dyDescent="0.25">
      <c r="E47" s="42" t="s">
        <v>227</v>
      </c>
      <c r="F47" s="11" t="s">
        <v>228</v>
      </c>
      <c r="G47" s="15" t="s">
        <v>229</v>
      </c>
    </row>
    <row r="48" spans="1:7" ht="28.7" customHeight="1" x14ac:dyDescent="0.25">
      <c r="E48" s="43" t="s">
        <v>230</v>
      </c>
      <c r="F48" s="11" t="s">
        <v>231</v>
      </c>
      <c r="G48" s="15" t="s">
        <v>232</v>
      </c>
    </row>
    <row r="49" spans="5:7" ht="20.100000000000001" customHeight="1" x14ac:dyDescent="0.25">
      <c r="E49" s="113" t="s">
        <v>233</v>
      </c>
      <c r="F49" s="114" t="s">
        <v>234</v>
      </c>
      <c r="G49" s="115" t="s">
        <v>216</v>
      </c>
    </row>
    <row r="50" spans="5:7" ht="21.95" customHeight="1" x14ac:dyDescent="0.25">
      <c r="E50" s="116" t="s">
        <v>235</v>
      </c>
      <c r="F50" s="114" t="s">
        <v>236</v>
      </c>
      <c r="G50" s="115" t="s">
        <v>237</v>
      </c>
    </row>
    <row r="51" spans="5:7" ht="20.100000000000001" customHeight="1" x14ac:dyDescent="0.25"/>
    <row r="52" spans="5:7" ht="21.95" customHeight="1" x14ac:dyDescent="0.25">
      <c r="E52" s="117" t="s">
        <v>238</v>
      </c>
      <c r="F52" s="118"/>
      <c r="G52" s="118"/>
    </row>
    <row r="53" spans="5:7" ht="20.100000000000001" customHeight="1" x14ac:dyDescent="0.25">
      <c r="E53" s="119" t="s">
        <v>239</v>
      </c>
      <c r="F53" s="114" t="s">
        <v>240</v>
      </c>
      <c r="G53" s="115" t="s">
        <v>241</v>
      </c>
    </row>
    <row r="54" spans="5:7" ht="20.100000000000001" customHeight="1" x14ac:dyDescent="0.25">
      <c r="E54" s="120" t="s">
        <v>242</v>
      </c>
      <c r="F54" s="114" t="s">
        <v>243</v>
      </c>
      <c r="G54" s="115" t="s">
        <v>241</v>
      </c>
    </row>
    <row r="55" spans="5:7" ht="20.100000000000001" customHeight="1" x14ac:dyDescent="0.25">
      <c r="E55" s="121" t="s">
        <v>244</v>
      </c>
      <c r="F55" s="114" t="s">
        <v>245</v>
      </c>
      <c r="G55" s="115" t="s">
        <v>241</v>
      </c>
    </row>
    <row r="56" spans="5:7" ht="20.100000000000001" customHeight="1" x14ac:dyDescent="0.25">
      <c r="E56" s="122" t="s">
        <v>246</v>
      </c>
      <c r="F56" s="114" t="s">
        <v>247</v>
      </c>
      <c r="G56" s="115" t="s">
        <v>241</v>
      </c>
    </row>
    <row r="57" spans="5:7" ht="20.100000000000001" customHeight="1" x14ac:dyDescent="0.25">
      <c r="E57" s="123" t="s">
        <v>248</v>
      </c>
      <c r="F57" s="114" t="s">
        <v>249</v>
      </c>
      <c r="G57" s="115" t="s">
        <v>250</v>
      </c>
    </row>
    <row r="58" spans="5:7" ht="20.100000000000001" customHeight="1" x14ac:dyDescent="0.25">
      <c r="E58" s="124" t="s">
        <v>251</v>
      </c>
      <c r="F58" s="114" t="s">
        <v>252</v>
      </c>
      <c r="G58" s="115" t="s">
        <v>250</v>
      </c>
    </row>
  </sheetData>
  <mergeCells count="22">
    <mergeCell ref="E4:G4"/>
    <mergeCell ref="B41:C41"/>
    <mergeCell ref="A7:C7"/>
    <mergeCell ref="A16:C16"/>
    <mergeCell ref="A4:C4"/>
    <mergeCell ref="A10:C10"/>
    <mergeCell ref="B38:C38"/>
    <mergeCell ref="A13:C13"/>
    <mergeCell ref="A9:C9"/>
    <mergeCell ref="A15:C15"/>
    <mergeCell ref="A6:C6"/>
    <mergeCell ref="A5:C5"/>
    <mergeCell ref="A8:C8"/>
    <mergeCell ref="A14:C14"/>
    <mergeCell ref="B42:C42"/>
    <mergeCell ref="A35:C35"/>
    <mergeCell ref="B40:C40"/>
    <mergeCell ref="E19:G19"/>
    <mergeCell ref="A37:C37"/>
    <mergeCell ref="A18:C18"/>
    <mergeCell ref="A12:C12"/>
    <mergeCell ref="B39:C39"/>
  </mergeCells>
  <hyperlinks>
    <hyperlink ref="E6" location="'Bias'!A1" display="Bias  ↗" xr:uid="{00000000-0004-0000-0000-000000000000}"/>
    <hyperlink ref="E7" location="'Compare'!A1" display="Compare  ↗" xr:uid="{00000000-0004-0000-0000-000001000000}"/>
    <hyperlink ref="E8" location="'Scorecard'!A1" display="Scorecard  ↗" xr:uid="{00000000-0004-0000-0000-000002000000}"/>
    <hyperlink ref="E9" location="'Risk &amp; Gold'!A1" display="Risk &amp; Gold  ↗" xr:uid="{00000000-0004-0000-0000-000003000000}"/>
    <hyperlink ref="E10" location="'Key Levels'!A1" display="Key Levels  ↗" xr:uid="{00000000-0004-0000-0000-000004000000}"/>
    <hyperlink ref="E11" location="'Hub'!A1" display="Hub  ↗" xr:uid="{00000000-0004-0000-0000-000005000000}"/>
    <hyperlink ref="E12" location="'Journal'!A1" display="Journal  ↗" xr:uid="{00000000-0004-0000-0000-000006000000}"/>
    <hyperlink ref="E13" location="'Calendar'!A1" display="Calendar  ↗" xr:uid="{00000000-0004-0000-0000-000007000000}"/>
    <hyperlink ref="E14" location="'Events'!A1" display="Events  ↗" xr:uid="{00000000-0004-0000-0000-000008000000}"/>
    <hyperlink ref="E15" location="'Sources'!A1" display="Sources  ↗" xr:uid="{00000000-0004-0000-0000-000009000000}"/>
    <hyperlink ref="E16" location="'Bias Builder'!A1" display="Bias Builder  ↗" xr:uid="{00000000-0004-0000-0000-00000A000000}"/>
    <hyperlink ref="E17" location="'Update Log'!A1" display="Update Log  ↗" xr:uid="{00000000-0004-0000-0000-00000B000000}"/>
    <hyperlink ref="E18" location="'Prompts'!A1" display="Prompts  ↗" xr:uid="{00000000-0004-0000-0000-00000C000000}"/>
    <hyperlink ref="B38" location="'Sources'!A1" display="Every input has ONE fixed source — see the Sources sheet ↗" xr:uid="{00000000-0004-0000-0000-00000D000000}"/>
  </hyperlink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pageSetUpPr fitToPage="1"/>
  </sheetPr>
  <dimension ref="A1:AG36"/>
  <sheetViews>
    <sheetView showGridLines="0" topLeftCell="E1" workbookViewId="0">
      <pane ySplit="2" topLeftCell="A3" activePane="bottomLeft" state="frozen"/>
      <selection pane="bottomLeft" activeCell="C14" sqref="C14"/>
    </sheetView>
  </sheetViews>
  <sheetFormatPr defaultRowHeight="15" x14ac:dyDescent="0.25"/>
  <cols>
    <col min="1" max="1" width="4.42578125" customWidth="1"/>
    <col min="2" max="2" width="6" customWidth="1"/>
    <col min="3" max="3" width="62.85546875" customWidth="1"/>
    <col min="4" max="4" width="6" customWidth="1"/>
    <col min="5" max="5" width="61.5703125" customWidth="1"/>
    <col min="6" max="6" width="6" customWidth="1"/>
    <col min="7" max="7" width="67.42578125" customWidth="1"/>
    <col min="8" max="8" width="6" customWidth="1"/>
    <col min="9" max="9" width="65.5703125" customWidth="1"/>
    <col min="10" max="10" width="6" customWidth="1"/>
    <col min="11" max="11" width="78.140625" customWidth="1"/>
    <col min="12" max="12" width="3" customWidth="1"/>
    <col min="13" max="19" width="5.140625" customWidth="1"/>
    <col min="20" max="20" width="2.42578125" customWidth="1"/>
    <col min="21" max="27" width="5.140625" customWidth="1"/>
    <col min="29" max="33" width="13" hidden="1" customWidth="1"/>
  </cols>
  <sheetData>
    <row r="1" spans="1:33" ht="33.950000000000003" customHeight="1" x14ac:dyDescent="0.25">
      <c r="A1" s="139" t="s">
        <v>253</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1" t="s">
        <v>1</v>
      </c>
    </row>
    <row r="2" spans="1:33" ht="20.100000000000001" customHeight="1" x14ac:dyDescent="0.25">
      <c r="A2" s="142" t="s">
        <v>254</v>
      </c>
    </row>
    <row r="3" spans="1:33" ht="8.1" customHeight="1" x14ac:dyDescent="0.25"/>
    <row r="4" spans="1:33" ht="24" customHeight="1" x14ac:dyDescent="0.25">
      <c r="A4" s="287" t="s">
        <v>255</v>
      </c>
      <c r="B4" s="269"/>
      <c r="C4" s="269"/>
      <c r="D4" s="269"/>
      <c r="E4" s="269"/>
      <c r="F4" s="269"/>
      <c r="G4" s="269"/>
      <c r="H4" s="269"/>
      <c r="I4" s="269"/>
      <c r="J4" s="269"/>
      <c r="K4" s="269"/>
    </row>
    <row r="5" spans="1:33" ht="24" customHeight="1" x14ac:dyDescent="0.25">
      <c r="A5" s="281" t="s">
        <v>246</v>
      </c>
      <c r="B5" s="285"/>
      <c r="C5" s="280"/>
      <c r="D5" s="292">
        <f ca="1">TODAY()</f>
        <v>46310</v>
      </c>
      <c r="E5" s="280"/>
      <c r="F5" s="281" t="s">
        <v>256</v>
      </c>
      <c r="G5" s="280"/>
      <c r="H5" s="283">
        <v>0</v>
      </c>
      <c r="I5" s="280"/>
      <c r="J5" s="279" t="str">
        <f ca="1">COUNTIFS(Events!$A$5:$A$304,TODAY(),Events!$K$5:$K$304,"&gt;="&amp;$AC$5)&amp;" event(s) today"</f>
        <v>11 event(s) today</v>
      </c>
      <c r="K5" s="280"/>
      <c r="AC5">
        <f>IF($D$6="High only",3,IF($D$6="High + Medium",2,1))</f>
        <v>2</v>
      </c>
    </row>
    <row r="6" spans="1:33" ht="24" customHeight="1" x14ac:dyDescent="0.25">
      <c r="A6" s="281" t="s">
        <v>257</v>
      </c>
      <c r="B6" s="285"/>
      <c r="C6" s="280"/>
      <c r="D6" s="283" t="s">
        <v>258</v>
      </c>
      <c r="E6" s="280"/>
      <c r="F6" s="281" t="s">
        <v>259</v>
      </c>
      <c r="G6" s="280"/>
      <c r="H6" s="284">
        <f ca="1">TODAY()-WEEKDAY(TODAY(),3)+IF(WEEKDAY(TODAY(),2)&gt;5,7,0)+7*$H$5</f>
        <v>46307</v>
      </c>
      <c r="I6" s="280"/>
      <c r="J6" s="286"/>
      <c r="K6" s="280"/>
    </row>
    <row r="7" spans="1:33" ht="24" customHeight="1" x14ac:dyDescent="0.25">
      <c r="A7" s="281" t="s">
        <v>260</v>
      </c>
      <c r="B7" s="285"/>
      <c r="C7" s="280"/>
      <c r="D7" s="290" t="str">
        <f ca="1">IFERROR(INDEX(Events!$C$5:$C$304,MATCH(_xlfn.MINIFS(Events!$L$5:$L$304,Events!$D$5:$D$304,"High",Events!$L$5:$L$304,"&gt;="&amp;NOW()),Events!$L$5:$L$304,0))&amp;"  "&amp;INDEX(Events!$F$5:$F$304,MATCH(_xlfn.MINIFS(Events!$L$5:$L$304,Events!$D$5:$D$304,"High",Events!$L$5:$L$304,"&gt;="&amp;NOW()),Events!$L$5:$L$304,0))&amp;"  —  "&amp;TEXT(_xlfn.MINIFS(Events!$L$5:$L$304,Events!$D$5:$D$304,"High",Events!$L$5:$L$304,"&gt;="&amp;NOW()),"ddd d mmm hh:mm")&amp;"  (in "&amp;INT(_xlfn.MINIFS(Events!$L$5:$L$304,Events!$D$5:$D$304,"High",Events!$L$5:$L$304,"&gt;="&amp;NOW()))-TODAY()&amp;" days)","none scheduled")</f>
        <v>USD  Core PPI m/m  —  Thu 15 Oct 14:30  (in 0 days)</v>
      </c>
      <c r="E7" s="285"/>
      <c r="F7" s="285"/>
      <c r="G7" s="285"/>
      <c r="H7" s="285"/>
      <c r="I7" s="285"/>
      <c r="J7" s="285"/>
      <c r="K7" s="280"/>
    </row>
    <row r="9" spans="1:33" ht="24" customHeight="1" x14ac:dyDescent="0.25">
      <c r="A9" s="287" t="s">
        <v>261</v>
      </c>
      <c r="B9" s="269"/>
      <c r="C9" s="269"/>
      <c r="D9" s="269"/>
      <c r="E9" s="269"/>
      <c r="F9" s="269"/>
      <c r="G9" s="269"/>
      <c r="H9" s="269"/>
      <c r="I9" s="269"/>
      <c r="J9" s="269"/>
      <c r="K9" s="269"/>
      <c r="M9" s="287" t="s">
        <v>262</v>
      </c>
      <c r="N9" s="269"/>
      <c r="O9" s="269"/>
      <c r="P9" s="269"/>
      <c r="Q9" s="269"/>
      <c r="R9" s="269"/>
      <c r="S9" s="269"/>
      <c r="T9" s="269"/>
      <c r="U9" s="269"/>
      <c r="V9" s="269"/>
      <c r="W9" s="269"/>
      <c r="X9" s="269"/>
      <c r="Y9" s="269"/>
      <c r="Z9" s="269"/>
      <c r="AA9" s="269"/>
    </row>
    <row r="10" spans="1:33" ht="26.1" customHeight="1" x14ac:dyDescent="0.25">
      <c r="A10" s="143" t="s">
        <v>263</v>
      </c>
      <c r="B10" s="278">
        <f ca="1">$H$6+0</f>
        <v>46307</v>
      </c>
      <c r="C10" s="273"/>
      <c r="D10" s="278">
        <f ca="1">$H$6+1</f>
        <v>46308</v>
      </c>
      <c r="E10" s="273"/>
      <c r="F10" s="278">
        <f ca="1">$H$6+2</f>
        <v>46309</v>
      </c>
      <c r="G10" s="273"/>
      <c r="H10" s="278">
        <f ca="1">$H$6+3</f>
        <v>46310</v>
      </c>
      <c r="I10" s="273"/>
      <c r="J10" s="278">
        <f ca="1">$H$6+4</f>
        <v>46311</v>
      </c>
      <c r="K10" s="273"/>
      <c r="M10" s="282" t="str">
        <f ca="1">TEXT(DATE(YEAR($H$6),MONTH($H$6),1),"mmmm yyyy")</f>
        <v>October 2026</v>
      </c>
      <c r="N10" s="273"/>
      <c r="O10" s="273"/>
      <c r="P10" s="273"/>
      <c r="Q10" s="273"/>
      <c r="R10" s="273"/>
      <c r="S10" s="273"/>
      <c r="U10" s="282" t="str">
        <f ca="1">TEXT(EDATE(DATE(YEAR($H$6),MONTH($H$6),1),1),"mmmm yyyy")</f>
        <v>November 2026</v>
      </c>
      <c r="V10" s="273"/>
      <c r="W10" s="273"/>
      <c r="X10" s="273"/>
      <c r="Y10" s="273"/>
      <c r="Z10" s="273"/>
      <c r="AA10" s="273"/>
    </row>
    <row r="11" spans="1:33" ht="20.100000000000001" customHeight="1" x14ac:dyDescent="0.25">
      <c r="A11" s="144">
        <v>1</v>
      </c>
      <c r="B11" s="145" t="str">
        <f ca="1">IF($AC11="","",IFERROR(INDEX({"CB","SPK","GOV","INF","JOB","BIZ","HOL"},MATCH(INDEX(Events!$E$5:$E$304,$AC11),{"Central bank","CB speech","Government","Inflation","Jobs","Growth &amp; business","Holiday"},0)),"?"))</f>
        <v>HOL</v>
      </c>
      <c r="C11" s="146" t="str">
        <f ca="1">IF($AC11="","",IF(INDEX(Events!$D$5:$D$304,$AC11)="High","●  ",IF(INDEX(Events!$D$5:$D$304,$AC11)="Medium","○  ","    "))&amp;IF(INDEX(Events!$B$5:$B$304,$AC11)="","all day",TEXT(INDEX(Events!$B$5:$B$304,$AC11),"hh:mm"))&amp;"   "&amp;INDEX(Events!$C$5:$C$304,$AC11)&amp;"   "&amp;INDEX(Events!$F$5:$F$304,$AC11))</f>
        <v xml:space="preserve">    all day   JPY   Bank Holiday</v>
      </c>
      <c r="D11" s="145" t="str">
        <f ca="1">IF($AD11="","",IFERROR(INDEX({"CB","SPK","GOV","INF","JOB","BIZ","HOL"},MATCH(INDEX(Events!$E$5:$E$304,$AD11),{"Central bank","CB speech","Government","Inflation","Jobs","Growth &amp; business","Holiday"},0)),"?"))</f>
        <v/>
      </c>
      <c r="E11" s="146" t="str">
        <f ca="1">IF($AD11="","",IF(INDEX(Events!$D$5:$D$304,$AD11)="High","●  ",IF(INDEX(Events!$D$5:$D$304,$AD11)="Medium","○  ","    "))&amp;IF(INDEX(Events!$B$5:$B$304,$AD11)="","all day",TEXT(INDEX(Events!$B$5:$B$304,$AD11),"hh:mm"))&amp;"   "&amp;INDEX(Events!$C$5:$C$304,$AD11)&amp;"   "&amp;INDEX(Events!$F$5:$F$304,$AD11))</f>
        <v/>
      </c>
      <c r="F11" s="145" t="str">
        <f ca="1">IF($AE11="","",IFERROR(INDEX({"CB","SPK","GOV","INF","JOB","BIZ","HOL"},MATCH(INDEX(Events!$E$5:$E$304,$AE11),{"Central bank","CB speech","Government","Inflation","Jobs","Growth &amp; business","Holiday"},0)),"?"))</f>
        <v>SPK</v>
      </c>
      <c r="G11" s="146" t="str">
        <f ca="1">IF($AE11="","",IF(INDEX(Events!$D$5:$D$304,$AE11)="High","●  ",IF(INDEX(Events!$D$5:$D$304,$AE11)="Medium","○  ","    "))&amp;IF(INDEX(Events!$B$5:$B$304,$AE11)="","all day",TEXT(INDEX(Events!$B$5:$B$304,$AE11),"hh:mm"))&amp;"   "&amp;INDEX(Events!$C$5:$C$304,$AE11)&amp;"   "&amp;INDEX(Events!$F$5:$F$304,$AE11))</f>
        <v>○  04:10   EUR   ECB President Lagarde Speaks</v>
      </c>
      <c r="H11" s="145" t="str">
        <f ca="1">IF($AF11="","",IFERROR(INDEX({"CB","SPK","GOV","INF","JOB","BIZ","HOL"},MATCH(INDEX(Events!$E$5:$E$304,$AF11),{"Central bank","CB speech","Government","Inflation","Jobs","Growth &amp; business","Holiday"},0)),"?"))</f>
        <v>JOB</v>
      </c>
      <c r="I11" s="146" t="str">
        <f ca="1">IF($AF11="","",IF(INDEX(Events!$D$5:$D$304,$AF11)="High","●  ",IF(INDEX(Events!$D$5:$D$304,$AF11)="Medium","○  ","    "))&amp;IF(INDEX(Events!$B$5:$B$304,$AF11)="","all day",TEXT(INDEX(Events!$B$5:$B$304,$AF11),"hh:mm"))&amp;"   "&amp;INDEX(Events!$C$5:$C$304,$AF11)&amp;"   "&amp;INDEX(Events!$F$5:$F$304,$AF11))</f>
        <v>●  02:30   AUD   Employment Change</v>
      </c>
      <c r="J11" s="145" t="str">
        <f ca="1">IF($AG11="","",IFERROR(INDEX({"CB","SPK","GOV","INF","JOB","BIZ","HOL"},MATCH(INDEX(Events!$E$5:$E$304,$AG11),{"Central bank","CB speech","Government","Inflation","Jobs","Growth &amp; business","Holiday"},0)),"?"))</f>
        <v>SPK</v>
      </c>
      <c r="K11" s="146" t="str">
        <f ca="1">IF($AG11="","",IF(INDEX(Events!$D$5:$D$304,$AG11)="High","●  ",IF(INDEX(Events!$D$5:$D$304,$AG11)="Medium","○  ","    "))&amp;IF(INDEX(Events!$B$5:$B$304,$AG11)="","all day",TEXT(INDEX(Events!$B$5:$B$304,$AG11),"hh:mm"))&amp;"   "&amp;INDEX(Events!$C$5:$C$304,$AG11)&amp;"   "&amp;INDEX(Events!$F$5:$F$304,$AG11))</f>
        <v>●  04:00   GBP   BOE Gov Bailey Speaks</v>
      </c>
      <c r="M11" s="147" t="s">
        <v>264</v>
      </c>
      <c r="N11" s="147" t="s">
        <v>265</v>
      </c>
      <c r="O11" s="147" t="s">
        <v>266</v>
      </c>
      <c r="P11" s="147" t="s">
        <v>267</v>
      </c>
      <c r="Q11" s="147" t="s">
        <v>268</v>
      </c>
      <c r="R11" s="147" t="s">
        <v>269</v>
      </c>
      <c r="S11" s="147" t="s">
        <v>270</v>
      </c>
      <c r="U11" s="147" t="s">
        <v>264</v>
      </c>
      <c r="V11" s="147" t="s">
        <v>265</v>
      </c>
      <c r="W11" s="147" t="s">
        <v>266</v>
      </c>
      <c r="X11" s="147" t="s">
        <v>267</v>
      </c>
      <c r="Y11" s="147" t="s">
        <v>268</v>
      </c>
      <c r="Z11" s="147" t="s">
        <v>269</v>
      </c>
      <c r="AA11" s="147" t="s">
        <v>270</v>
      </c>
      <c r="AC11">
        <f ca="1">IFERROR(MATCH(TEXT(B$10,"yyyymmdd")&amp;"|"&amp;$A11,Events!$M$5:$M$304,0),"")</f>
        <v>23</v>
      </c>
      <c r="AD11" t="str">
        <f ca="1">IFERROR(MATCH(TEXT(D$10,"yyyymmdd")&amp;"|"&amp;$A11,Events!$M$5:$M$304,0),"")</f>
        <v/>
      </c>
      <c r="AE11">
        <f ca="1">IFERROR(MATCH(TEXT(F$10,"yyyymmdd")&amp;"|"&amp;$A11,Events!$M$5:$M$304,0),"")</f>
        <v>25</v>
      </c>
      <c r="AF11">
        <f ca="1">IFERROR(MATCH(TEXT(H$10,"yyyymmdd")&amp;"|"&amp;$A11,Events!$M$5:$M$304,0),"")</f>
        <v>33</v>
      </c>
      <c r="AG11">
        <f ca="1">IFERROR(MATCH(TEXT(J$10,"yyyymmdd")&amp;"|"&amp;$A11,Events!$M$5:$M$304,0),"")</f>
        <v>44</v>
      </c>
    </row>
    <row r="12" spans="1:33" ht="20.100000000000001" customHeight="1" x14ac:dyDescent="0.25">
      <c r="A12" s="144">
        <v>2</v>
      </c>
      <c r="B12" s="145" t="str">
        <f ca="1">IF($AC12="","",IFERROR(INDEX({"CB","SPK","GOV","INF","JOB","BIZ","HOL"},MATCH(INDEX(Events!$E$5:$E$304,$AC12),{"Central bank","CB speech","Government","Inflation","Jobs","Growth &amp; business","Holiday"},0)),"?"))</f>
        <v>HOL</v>
      </c>
      <c r="C12" s="146" t="str">
        <f ca="1">IF($AC12="","",IF(INDEX(Events!$D$5:$D$304,$AC12)="High","●  ",IF(INDEX(Events!$D$5:$D$304,$AC12)="Medium","○  ","    "))&amp;IF(INDEX(Events!$B$5:$B$304,$AC12)="","all day",TEXT(INDEX(Events!$B$5:$B$304,$AC12),"hh:mm"))&amp;"   "&amp;INDEX(Events!$C$5:$C$304,$AC12)&amp;"   "&amp;INDEX(Events!$F$5:$F$304,$AC12))</f>
        <v xml:space="preserve">    all day   USD   Bank Holiday</v>
      </c>
      <c r="D12" s="145" t="str">
        <f ca="1">IF($AD12="","",IFERROR(INDEX({"CB","SPK","GOV","INF","JOB","BIZ","HOL"},MATCH(INDEX(Events!$E$5:$E$304,$AD12),{"Central bank","CB speech","Government","Inflation","Jobs","Growth &amp; business","Holiday"},0)),"?"))</f>
        <v/>
      </c>
      <c r="E12" s="146" t="str">
        <f ca="1">IF($AD12="","",IF(INDEX(Events!$D$5:$D$304,$AD12)="High","●  ",IF(INDEX(Events!$D$5:$D$304,$AD12)="Medium","○  ","    "))&amp;IF(INDEX(Events!$B$5:$B$304,$AD12)="","all day",TEXT(INDEX(Events!$B$5:$B$304,$AD12),"hh:mm"))&amp;"   "&amp;INDEX(Events!$C$5:$C$304,$AD12)&amp;"   "&amp;INDEX(Events!$F$5:$F$304,$AD12))</f>
        <v/>
      </c>
      <c r="F12" s="145" t="str">
        <f ca="1">IF($AE12="","",IFERROR(INDEX({"CB","SPK","GOV","INF","JOB","BIZ","HOL"},MATCH(INDEX(Events!$E$5:$E$304,$AE12),{"Central bank","CB speech","Government","Inflation","Jobs","Growth &amp; business","Holiday"},0)),"?"))</f>
        <v>SPK</v>
      </c>
      <c r="G12" s="146" t="str">
        <f ca="1">IF($AE12="","",IF(INDEX(Events!$D$5:$D$304,$AE12)="High","●  ",IF(INDEX(Events!$D$5:$D$304,$AE12)="Medium","○  ","    "))&amp;IF(INDEX(Events!$B$5:$B$304,$AE12)="","all day",TEXT(INDEX(Events!$B$5:$B$304,$AE12),"hh:mm"))&amp;"   "&amp;INDEX(Events!$C$5:$C$304,$AE12)&amp;"   "&amp;INDEX(Events!$F$5:$F$304,$AE12))</f>
        <v>○  07:30   GBP   BOE Gov Bailey Speaks</v>
      </c>
      <c r="H12" s="145" t="str">
        <f ca="1">IF($AF12="","",IFERROR(INDEX({"CB","SPK","GOV","INF","JOB","BIZ","HOL"},MATCH(INDEX(Events!$E$5:$E$304,$AF12),{"Central bank","CB speech","Government","Inflation","Jobs","Growth &amp; business","Holiday"},0)),"?"))</f>
        <v>JOB</v>
      </c>
      <c r="I12" s="146" t="str">
        <f ca="1">IF($AF12="","",IF(INDEX(Events!$D$5:$D$304,$AF12)="High","●  ",IF(INDEX(Events!$D$5:$D$304,$AF12)="Medium","○  ","    "))&amp;IF(INDEX(Events!$B$5:$B$304,$AF12)="","all day",TEXT(INDEX(Events!$B$5:$B$304,$AF12),"hh:mm"))&amp;"   "&amp;INDEX(Events!$C$5:$C$304,$AF12)&amp;"   "&amp;INDEX(Events!$F$5:$F$304,$AF12))</f>
        <v>●  02:30   AUD   Unemployment Rate</v>
      </c>
      <c r="J12" s="145" t="str">
        <f ca="1">IF($AG12="","",IFERROR(INDEX({"CB","SPK","GOV","INF","JOB","BIZ","HOL"},MATCH(INDEX(Events!$E$5:$E$304,$AG12),{"Central bank","CB speech","Government","Inflation","Jobs","Growth &amp; business","Holiday"},0)),"?"))</f>
        <v>SPK</v>
      </c>
      <c r="K12" s="146" t="str">
        <f ca="1">IF($AG12="","",IF(INDEX(Events!$D$5:$D$304,$AG12)="High","●  ",IF(INDEX(Events!$D$5:$D$304,$AG12)="Medium","○  ","    "))&amp;IF(INDEX(Events!$B$5:$B$304,$AG12)="","all day",TEXT(INDEX(Events!$B$5:$B$304,$AG12),"hh:mm"))&amp;"   "&amp;INDEX(Events!$C$5:$C$304,$AG12)&amp;"   "&amp;INDEX(Events!$F$5:$F$304,$AG12))</f>
        <v>●  05:30   USD   Fed Chairman Warsh Speaks</v>
      </c>
      <c r="M12" s="148">
        <f ca="1">(DATE(YEAR($H$6),MONTH($H$6),1)-WEEKDAY(DATE(YEAR($H$6),MONTH($H$6),1),3))+0</f>
        <v>46293</v>
      </c>
      <c r="N12" s="148">
        <f ca="1">(DATE(YEAR($H$6),MONTH($H$6),1)-WEEKDAY(DATE(YEAR($H$6),MONTH($H$6),1),3))+1</f>
        <v>46294</v>
      </c>
      <c r="O12" s="148">
        <f ca="1">(DATE(YEAR($H$6),MONTH($H$6),1)-WEEKDAY(DATE(YEAR($H$6),MONTH($H$6),1),3))+2</f>
        <v>46295</v>
      </c>
      <c r="P12" s="148">
        <f ca="1">(DATE(YEAR($H$6),MONTH($H$6),1)-WEEKDAY(DATE(YEAR($H$6),MONTH($H$6),1),3))+3</f>
        <v>46296</v>
      </c>
      <c r="Q12" s="148">
        <f ca="1">(DATE(YEAR($H$6),MONTH($H$6),1)-WEEKDAY(DATE(YEAR($H$6),MONTH($H$6),1),3))+4</f>
        <v>46297</v>
      </c>
      <c r="R12" s="148">
        <f ca="1">(DATE(YEAR($H$6),MONTH($H$6),1)-WEEKDAY(DATE(YEAR($H$6),MONTH($H$6),1),3))+5</f>
        <v>46298</v>
      </c>
      <c r="S12" s="148">
        <f ca="1">(DATE(YEAR($H$6),MONTH($H$6),1)-WEEKDAY(DATE(YEAR($H$6),MONTH($H$6),1),3))+6</f>
        <v>46299</v>
      </c>
      <c r="U12" s="148">
        <f ca="1">(EDATE(DATE(YEAR($H$6),MONTH($H$6),1),1)-WEEKDAY(EDATE(DATE(YEAR($H$6),MONTH($H$6),1),1),3))+0</f>
        <v>46321</v>
      </c>
      <c r="V12" s="148">
        <f ca="1">(EDATE(DATE(YEAR($H$6),MONTH($H$6),1),1)-WEEKDAY(EDATE(DATE(YEAR($H$6),MONTH($H$6),1),1),3))+1</f>
        <v>46322</v>
      </c>
      <c r="W12" s="148">
        <f ca="1">(EDATE(DATE(YEAR($H$6),MONTH($H$6),1),1)-WEEKDAY(EDATE(DATE(YEAR($H$6),MONTH($H$6),1),1),3))+2</f>
        <v>46323</v>
      </c>
      <c r="X12" s="148">
        <f ca="1">(EDATE(DATE(YEAR($H$6),MONTH($H$6),1),1)-WEEKDAY(EDATE(DATE(YEAR($H$6),MONTH($H$6),1),1),3))+3</f>
        <v>46324</v>
      </c>
      <c r="Y12" s="148">
        <f ca="1">(EDATE(DATE(YEAR($H$6),MONTH($H$6),1),1)-WEEKDAY(EDATE(DATE(YEAR($H$6),MONTH($H$6),1),1),3))+4</f>
        <v>46325</v>
      </c>
      <c r="Z12" s="148">
        <f ca="1">(EDATE(DATE(YEAR($H$6),MONTH($H$6),1),1)-WEEKDAY(EDATE(DATE(YEAR($H$6),MONTH($H$6),1),1),3))+5</f>
        <v>46326</v>
      </c>
      <c r="AA12" s="148">
        <f ca="1">(EDATE(DATE(YEAR($H$6),MONTH($H$6),1),1)-WEEKDAY(EDATE(DATE(YEAR($H$6),MONTH($H$6),1),1),3))+6</f>
        <v>46327</v>
      </c>
      <c r="AC12">
        <f ca="1">IFERROR(MATCH(TEXT(B$10,"yyyymmdd")&amp;"|"&amp;$A12,Events!$M$5:$M$304,0),"")</f>
        <v>24</v>
      </c>
      <c r="AD12" t="str">
        <f ca="1">IFERROR(MATCH(TEXT(D$10,"yyyymmdd")&amp;"|"&amp;$A12,Events!$M$5:$M$304,0),"")</f>
        <v/>
      </c>
      <c r="AE12">
        <f ca="1">IFERROR(MATCH(TEXT(F$10,"yyyymmdd")&amp;"|"&amp;$A12,Events!$M$5:$M$304,0),"")</f>
        <v>26</v>
      </c>
      <c r="AF12">
        <f ca="1">IFERROR(MATCH(TEXT(H$10,"yyyymmdd")&amp;"|"&amp;$A12,Events!$M$5:$M$304,0),"")</f>
        <v>34</v>
      </c>
      <c r="AG12">
        <f ca="1">IFERROR(MATCH(TEXT(J$10,"yyyymmdd")&amp;"|"&amp;$A12,Events!$M$5:$M$304,0),"")</f>
        <v>45</v>
      </c>
    </row>
    <row r="13" spans="1:33" ht="20.100000000000001" customHeight="1" x14ac:dyDescent="0.25">
      <c r="A13" s="144">
        <v>3</v>
      </c>
      <c r="B13" s="145" t="str">
        <f ca="1">IF($AC13="","",IFERROR(INDEX({"CB","SPK","GOV","INF","JOB","BIZ","HOL"},MATCH(INDEX(Events!$E$5:$E$304,$AC13),{"Central bank","CB speech","Government","Inflation","Jobs","Growth &amp; business","Holiday"},0)),"?"))</f>
        <v/>
      </c>
      <c r="C13" s="146" t="str">
        <f ca="1">IF($AC13="","",IF(INDEX(Events!$D$5:$D$304,$AC13)="High","●  ",IF(INDEX(Events!$D$5:$D$304,$AC13)="Medium","○  ","    "))&amp;IF(INDEX(Events!$B$5:$B$304,$AC13)="","all day",TEXT(INDEX(Events!$B$5:$B$304,$AC13),"hh:mm"))&amp;"   "&amp;INDEX(Events!$C$5:$C$304,$AC13)&amp;"   "&amp;INDEX(Events!$F$5:$F$304,$AC13))</f>
        <v/>
      </c>
      <c r="D13" s="145" t="str">
        <f ca="1">IF($AD13="","",IFERROR(INDEX({"CB","SPK","GOV","INF","JOB","BIZ","HOL"},MATCH(INDEX(Events!$E$5:$E$304,$AD13),{"Central bank","CB speech","Government","Inflation","Jobs","Growth &amp; business","Holiday"},0)),"?"))</f>
        <v/>
      </c>
      <c r="E13" s="146" t="str">
        <f ca="1">IF($AD13="","",IF(INDEX(Events!$D$5:$D$304,$AD13)="High","●  ",IF(INDEX(Events!$D$5:$D$304,$AD13)="Medium","○  ","    "))&amp;IF(INDEX(Events!$B$5:$B$304,$AD13)="","all day",TEXT(INDEX(Events!$B$5:$B$304,$AD13),"hh:mm"))&amp;"   "&amp;INDEX(Events!$C$5:$C$304,$AD13)&amp;"   "&amp;INDEX(Events!$F$5:$F$304,$AD13))</f>
        <v/>
      </c>
      <c r="F13" s="145" t="str">
        <f ca="1">IF($AE13="","",IFERROR(INDEX({"CB","SPK","GOV","INF","JOB","BIZ","HOL"},MATCH(INDEX(Events!$E$5:$E$304,$AE13),{"Central bank","CB speech","Government","Inflation","Jobs","Growth &amp; business","Holiday"},0)),"?"))</f>
        <v>SPK</v>
      </c>
      <c r="G13" s="146" t="str">
        <f ca="1">IF($AE13="","",IF(INDEX(Events!$D$5:$D$304,$AE13)="High","●  ",IF(INDEX(Events!$D$5:$D$304,$AE13)="Medium","○  ","    "))&amp;IF(INDEX(Events!$B$5:$B$304,$AE13)="","all day",TEXT(INDEX(Events!$B$5:$B$304,$AE13),"hh:mm"))&amp;"   "&amp;INDEX(Events!$C$5:$C$304,$AE13)&amp;"   "&amp;INDEX(Events!$F$5:$F$304,$AE13))</f>
        <v>○  10:30   EUR   ECB President Lagarde Speaks</v>
      </c>
      <c r="H13" s="145" t="str">
        <f ca="1">IF($AF13="","",IFERROR(INDEX({"CB","SPK","GOV","INF","JOB","BIZ","HOL"},MATCH(INDEX(Events!$E$5:$E$304,$AF13),{"Central bank","CB speech","Government","Inflation","Jobs","Growth &amp; business","Holiday"},0)),"?"))</f>
        <v>BIZ</v>
      </c>
      <c r="I13" s="146" t="str">
        <f ca="1">IF($AF13="","",IF(INDEX(Events!$D$5:$D$304,$AF13)="High","●  ",IF(INDEX(Events!$D$5:$D$304,$AF13)="Medium","○  ","    "))&amp;IF(INDEX(Events!$B$5:$B$304,$AF13)="","all day",TEXT(INDEX(Events!$B$5:$B$304,$AF13),"hh:mm"))&amp;"   "&amp;INDEX(Events!$C$5:$C$304,$AF13)&amp;"   "&amp;INDEX(Events!$F$5:$F$304,$AF13))</f>
        <v>●  08:00   GBP   GDP m/m</v>
      </c>
      <c r="J13" s="145" t="str">
        <f ca="1">IF($AG13="","",IFERROR(INDEX({"CB","SPK","GOV","INF","JOB","BIZ","HOL"},MATCH(INDEX(Events!$E$5:$E$304,$AG13),{"Central bank","CB speech","Government","Inflation","Jobs","Growth &amp; business","Holiday"},0)),"?"))</f>
        <v/>
      </c>
      <c r="K13" s="146" t="str">
        <f ca="1">IF($AG13="","",IF(INDEX(Events!$D$5:$D$304,$AG13)="High","●  ",IF(INDEX(Events!$D$5:$D$304,$AG13)="Medium","○  ","    "))&amp;IF(INDEX(Events!$B$5:$B$304,$AG13)="","all day",TEXT(INDEX(Events!$B$5:$B$304,$AG13),"hh:mm"))&amp;"   "&amp;INDEX(Events!$C$5:$C$304,$AG13)&amp;"   "&amp;INDEX(Events!$F$5:$F$304,$AG13))</f>
        <v/>
      </c>
      <c r="M13" s="148">
        <f ca="1">(DATE(YEAR($H$6),MONTH($H$6),1)-WEEKDAY(DATE(YEAR($H$6),MONTH($H$6),1),3))+7</f>
        <v>46300</v>
      </c>
      <c r="N13" s="148">
        <f ca="1">(DATE(YEAR($H$6),MONTH($H$6),1)-WEEKDAY(DATE(YEAR($H$6),MONTH($H$6),1),3))+8</f>
        <v>46301</v>
      </c>
      <c r="O13" s="148">
        <f ca="1">(DATE(YEAR($H$6),MONTH($H$6),1)-WEEKDAY(DATE(YEAR($H$6),MONTH($H$6),1),3))+9</f>
        <v>46302</v>
      </c>
      <c r="P13" s="148">
        <f ca="1">(DATE(YEAR($H$6),MONTH($H$6),1)-WEEKDAY(DATE(YEAR($H$6),MONTH($H$6),1),3))+10</f>
        <v>46303</v>
      </c>
      <c r="Q13" s="148">
        <f ca="1">(DATE(YEAR($H$6),MONTH($H$6),1)-WEEKDAY(DATE(YEAR($H$6),MONTH($H$6),1),3))+11</f>
        <v>46304</v>
      </c>
      <c r="R13" s="148">
        <f ca="1">(DATE(YEAR($H$6),MONTH($H$6),1)-WEEKDAY(DATE(YEAR($H$6),MONTH($H$6),1),3))+12</f>
        <v>46305</v>
      </c>
      <c r="S13" s="148">
        <f ca="1">(DATE(YEAR($H$6),MONTH($H$6),1)-WEEKDAY(DATE(YEAR($H$6),MONTH($H$6),1),3))+13</f>
        <v>46306</v>
      </c>
      <c r="U13" s="148">
        <f ca="1">(EDATE(DATE(YEAR($H$6),MONTH($H$6),1),1)-WEEKDAY(EDATE(DATE(YEAR($H$6),MONTH($H$6),1),1),3))+7</f>
        <v>46328</v>
      </c>
      <c r="V13" s="148">
        <f ca="1">(EDATE(DATE(YEAR($H$6),MONTH($H$6),1),1)-WEEKDAY(EDATE(DATE(YEAR($H$6),MONTH($H$6),1),1),3))+8</f>
        <v>46329</v>
      </c>
      <c r="W13" s="148">
        <f ca="1">(EDATE(DATE(YEAR($H$6),MONTH($H$6),1),1)-WEEKDAY(EDATE(DATE(YEAR($H$6),MONTH($H$6),1),1),3))+9</f>
        <v>46330</v>
      </c>
      <c r="X13" s="148">
        <f ca="1">(EDATE(DATE(YEAR($H$6),MONTH($H$6),1),1)-WEEKDAY(EDATE(DATE(YEAR($H$6),MONTH($H$6),1),1),3))+10</f>
        <v>46331</v>
      </c>
      <c r="Y13" s="148">
        <f ca="1">(EDATE(DATE(YEAR($H$6),MONTH($H$6),1),1)-WEEKDAY(EDATE(DATE(YEAR($H$6),MONTH($H$6),1),1),3))+11</f>
        <v>46332</v>
      </c>
      <c r="Z13" s="148">
        <f ca="1">(EDATE(DATE(YEAR($H$6),MONTH($H$6),1),1)-WEEKDAY(EDATE(DATE(YEAR($H$6),MONTH($H$6),1),1),3))+12</f>
        <v>46333</v>
      </c>
      <c r="AA13" s="148">
        <f ca="1">(EDATE(DATE(YEAR($H$6),MONTH($H$6),1),1)-WEEKDAY(EDATE(DATE(YEAR($H$6),MONTH($H$6),1),1),3))+13</f>
        <v>46334</v>
      </c>
      <c r="AC13" t="str">
        <f ca="1">IFERROR(MATCH(TEXT(B$10,"yyyymmdd")&amp;"|"&amp;$A13,Events!$M$5:$M$304,0),"")</f>
        <v/>
      </c>
      <c r="AD13" t="str">
        <f ca="1">IFERROR(MATCH(TEXT(D$10,"yyyymmdd")&amp;"|"&amp;$A13,Events!$M$5:$M$304,0),"")</f>
        <v/>
      </c>
      <c r="AE13">
        <f ca="1">IFERROR(MATCH(TEXT(F$10,"yyyymmdd")&amp;"|"&amp;$A13,Events!$M$5:$M$304,0),"")</f>
        <v>27</v>
      </c>
      <c r="AF13">
        <f ca="1">IFERROR(MATCH(TEXT(H$10,"yyyymmdd")&amp;"|"&amp;$A13,Events!$M$5:$M$304,0),"")</f>
        <v>35</v>
      </c>
      <c r="AG13" t="str">
        <f ca="1">IFERROR(MATCH(TEXT(J$10,"yyyymmdd")&amp;"|"&amp;$A13,Events!$M$5:$M$304,0),"")</f>
        <v/>
      </c>
    </row>
    <row r="14" spans="1:33" ht="20.100000000000001" customHeight="1" x14ac:dyDescent="0.25">
      <c r="A14" s="144">
        <v>4</v>
      </c>
      <c r="B14" s="145" t="str">
        <f ca="1">IF($AC14="","",IFERROR(INDEX({"CB","SPK","GOV","INF","JOB","BIZ","HOL"},MATCH(INDEX(Events!$E$5:$E$304,$AC14),{"Central bank","CB speech","Government","Inflation","Jobs","Growth &amp; business","Holiday"},0)),"?"))</f>
        <v/>
      </c>
      <c r="C14" s="146" t="str">
        <f ca="1">IF($AC14="","",IF(INDEX(Events!$D$5:$D$304,$AC14)="High","●  ",IF(INDEX(Events!$D$5:$D$304,$AC14)="Medium","○  ","    "))&amp;IF(INDEX(Events!$B$5:$B$304,$AC14)="","all day",TEXT(INDEX(Events!$B$5:$B$304,$AC14),"hh:mm"))&amp;"   "&amp;INDEX(Events!$C$5:$C$304,$AC14)&amp;"   "&amp;INDEX(Events!$F$5:$F$304,$AC14))</f>
        <v/>
      </c>
      <c r="D14" s="145" t="str">
        <f ca="1">IF($AD14="","",IFERROR(INDEX({"CB","SPK","GOV","INF","JOB","BIZ","HOL"},MATCH(INDEX(Events!$E$5:$E$304,$AD14),{"Central bank","CB speech","Government","Inflation","Jobs","Growth &amp; business","Holiday"},0)),"?"))</f>
        <v/>
      </c>
      <c r="E14" s="146" t="str">
        <f ca="1">IF($AD14="","",IF(INDEX(Events!$D$5:$D$304,$AD14)="High","●  ",IF(INDEX(Events!$D$5:$D$304,$AD14)="Medium","○  ","    "))&amp;IF(INDEX(Events!$B$5:$B$304,$AD14)="","all day",TEXT(INDEX(Events!$B$5:$B$304,$AD14),"hh:mm"))&amp;"   "&amp;INDEX(Events!$C$5:$C$304,$AD14)&amp;"   "&amp;INDEX(Events!$F$5:$F$304,$AD14))</f>
        <v/>
      </c>
      <c r="F14" s="145" t="str">
        <f ca="1">IF($AE14="","",IFERROR(INDEX({"CB","SPK","GOV","INF","JOB","BIZ","HOL"},MATCH(INDEX(Events!$E$5:$E$304,$AE14),{"Central bank","CB speech","Government","Inflation","Jobs","Growth &amp; business","Holiday"},0)),"?"))</f>
        <v>GOV</v>
      </c>
      <c r="G14" s="146" t="str">
        <f ca="1">IF($AE14="","",IF(INDEX(Events!$D$5:$D$304,$AE14)="High","●  ",IF(INDEX(Events!$D$5:$D$304,$AE14)="Medium","○  ","    "))&amp;IF(INDEX(Events!$B$5:$B$304,$AE14)="","all day",TEXT(INDEX(Events!$B$5:$B$304,$AE14),"hh:mm"))&amp;"   "&amp;INDEX(Events!$C$5:$C$304,$AE14)&amp;"   "&amp;INDEX(Events!$F$5:$F$304,$AE14))</f>
        <v>○  12:15   EUR   EU Economic Summit</v>
      </c>
      <c r="H14" s="145" t="str">
        <f ca="1">IF($AF14="","",IFERROR(INDEX({"CB","SPK","GOV","INF","JOB","BIZ","HOL"},MATCH(INDEX(Events!$E$5:$E$304,$AF14),{"Central bank","CB speech","Government","Inflation","Jobs","Growth &amp; business","Holiday"},0)),"?"))</f>
        <v>SPK</v>
      </c>
      <c r="I14" s="146" t="str">
        <f ca="1">IF($AF14="","",IF(INDEX(Events!$D$5:$D$304,$AF14)="High","●  ",IF(INDEX(Events!$D$5:$D$304,$AF14)="Medium","○  ","    "))&amp;IF(INDEX(Events!$B$5:$B$304,$AF14)="","all day",TEXT(INDEX(Events!$B$5:$B$304,$AF14),"hh:mm"))&amp;"   "&amp;INDEX(Events!$C$5:$C$304,$AF14)&amp;"   "&amp;INDEX(Events!$F$5:$F$304,$AF14))</f>
        <v>○  09:30   GBP   BOE Gov Bailey Speaks</v>
      </c>
      <c r="J14" s="145" t="str">
        <f ca="1">IF($AG14="","",IFERROR(INDEX({"CB","SPK","GOV","INF","JOB","BIZ","HOL"},MATCH(INDEX(Events!$E$5:$E$304,$AG14),{"Central bank","CB speech","Government","Inflation","Jobs","Growth &amp; business","Holiday"},0)),"?"))</f>
        <v/>
      </c>
      <c r="K14" s="146" t="str">
        <f ca="1">IF($AG14="","",IF(INDEX(Events!$D$5:$D$304,$AG14)="High","●  ",IF(INDEX(Events!$D$5:$D$304,$AG14)="Medium","○  ","    "))&amp;IF(INDEX(Events!$B$5:$B$304,$AG14)="","all day",TEXT(INDEX(Events!$B$5:$B$304,$AG14),"hh:mm"))&amp;"   "&amp;INDEX(Events!$C$5:$C$304,$AG14)&amp;"   "&amp;INDEX(Events!$F$5:$F$304,$AG14))</f>
        <v/>
      </c>
      <c r="M14" s="148">
        <f ca="1">(DATE(YEAR($H$6),MONTH($H$6),1)-WEEKDAY(DATE(YEAR($H$6),MONTH($H$6),1),3))+14</f>
        <v>46307</v>
      </c>
      <c r="N14" s="148">
        <f ca="1">(DATE(YEAR($H$6),MONTH($H$6),1)-WEEKDAY(DATE(YEAR($H$6),MONTH($H$6),1),3))+15</f>
        <v>46308</v>
      </c>
      <c r="O14" s="148">
        <f ca="1">(DATE(YEAR($H$6),MONTH($H$6),1)-WEEKDAY(DATE(YEAR($H$6),MONTH($H$6),1),3))+16</f>
        <v>46309</v>
      </c>
      <c r="P14" s="148">
        <f ca="1">(DATE(YEAR($H$6),MONTH($H$6),1)-WEEKDAY(DATE(YEAR($H$6),MONTH($H$6),1),3))+17</f>
        <v>46310</v>
      </c>
      <c r="Q14" s="148">
        <f ca="1">(DATE(YEAR($H$6),MONTH($H$6),1)-WEEKDAY(DATE(YEAR($H$6),MONTH($H$6),1),3))+18</f>
        <v>46311</v>
      </c>
      <c r="R14" s="148">
        <f ca="1">(DATE(YEAR($H$6),MONTH($H$6),1)-WEEKDAY(DATE(YEAR($H$6),MONTH($H$6),1),3))+19</f>
        <v>46312</v>
      </c>
      <c r="S14" s="148">
        <f ca="1">(DATE(YEAR($H$6),MONTH($H$6),1)-WEEKDAY(DATE(YEAR($H$6),MONTH($H$6),1),3))+20</f>
        <v>46313</v>
      </c>
      <c r="U14" s="148">
        <f ca="1">(EDATE(DATE(YEAR($H$6),MONTH($H$6),1),1)-WEEKDAY(EDATE(DATE(YEAR($H$6),MONTH($H$6),1),1),3))+14</f>
        <v>46335</v>
      </c>
      <c r="V14" s="148">
        <f ca="1">(EDATE(DATE(YEAR($H$6),MONTH($H$6),1),1)-WEEKDAY(EDATE(DATE(YEAR($H$6),MONTH($H$6),1),1),3))+15</f>
        <v>46336</v>
      </c>
      <c r="W14" s="148">
        <f ca="1">(EDATE(DATE(YEAR($H$6),MONTH($H$6),1),1)-WEEKDAY(EDATE(DATE(YEAR($H$6),MONTH($H$6),1),1),3))+16</f>
        <v>46337</v>
      </c>
      <c r="X14" s="148">
        <f ca="1">(EDATE(DATE(YEAR($H$6),MONTH($H$6),1),1)-WEEKDAY(EDATE(DATE(YEAR($H$6),MONTH($H$6),1),1),3))+17</f>
        <v>46338</v>
      </c>
      <c r="Y14" s="148">
        <f ca="1">(EDATE(DATE(YEAR($H$6),MONTH($H$6),1),1)-WEEKDAY(EDATE(DATE(YEAR($H$6),MONTH($H$6),1),1),3))+18</f>
        <v>46339</v>
      </c>
      <c r="Z14" s="148">
        <f ca="1">(EDATE(DATE(YEAR($H$6),MONTH($H$6),1),1)-WEEKDAY(EDATE(DATE(YEAR($H$6),MONTH($H$6),1),1),3))+19</f>
        <v>46340</v>
      </c>
      <c r="AA14" s="148">
        <f ca="1">(EDATE(DATE(YEAR($H$6),MONTH($H$6),1),1)-WEEKDAY(EDATE(DATE(YEAR($H$6),MONTH($H$6),1),1),3))+20</f>
        <v>46341</v>
      </c>
      <c r="AC14" t="str">
        <f ca="1">IFERROR(MATCH(TEXT(B$10,"yyyymmdd")&amp;"|"&amp;$A14,Events!$M$5:$M$304,0),"")</f>
        <v/>
      </c>
      <c r="AD14" t="str">
        <f ca="1">IFERROR(MATCH(TEXT(D$10,"yyyymmdd")&amp;"|"&amp;$A14,Events!$M$5:$M$304,0),"")</f>
        <v/>
      </c>
      <c r="AE14">
        <f ca="1">IFERROR(MATCH(TEXT(F$10,"yyyymmdd")&amp;"|"&amp;$A14,Events!$M$5:$M$304,0),"")</f>
        <v>28</v>
      </c>
      <c r="AF14">
        <f ca="1">IFERROR(MATCH(TEXT(H$10,"yyyymmdd")&amp;"|"&amp;$A14,Events!$M$5:$M$304,0),"")</f>
        <v>36</v>
      </c>
      <c r="AG14" t="str">
        <f ca="1">IFERROR(MATCH(TEXT(J$10,"yyyymmdd")&amp;"|"&amp;$A14,Events!$M$5:$M$304,0),"")</f>
        <v/>
      </c>
    </row>
    <row r="15" spans="1:33" ht="20.100000000000001" customHeight="1" x14ac:dyDescent="0.25">
      <c r="A15" s="144">
        <v>5</v>
      </c>
      <c r="B15" s="145" t="str">
        <f ca="1">IF($AC15="","",IFERROR(INDEX({"CB","SPK","GOV","INF","JOB","BIZ","HOL"},MATCH(INDEX(Events!$E$5:$E$304,$AC15),{"Central bank","CB speech","Government","Inflation","Jobs","Growth &amp; business","Holiday"},0)),"?"))</f>
        <v/>
      </c>
      <c r="C15" s="146" t="str">
        <f ca="1">IF($AC15="","",IF(INDEX(Events!$D$5:$D$304,$AC15)="High","●  ",IF(INDEX(Events!$D$5:$D$304,$AC15)="Medium","○  ","    "))&amp;IF(INDEX(Events!$B$5:$B$304,$AC15)="","all day",TEXT(INDEX(Events!$B$5:$B$304,$AC15),"hh:mm"))&amp;"   "&amp;INDEX(Events!$C$5:$C$304,$AC15)&amp;"   "&amp;INDEX(Events!$F$5:$F$304,$AC15))</f>
        <v/>
      </c>
      <c r="D15" s="145" t="str">
        <f ca="1">IF($AD15="","",IFERROR(INDEX({"CB","SPK","GOV","INF","JOB","BIZ","HOL"},MATCH(INDEX(Events!$E$5:$E$304,$AD15),{"Central bank","CB speech","Government","Inflation","Jobs","Growth &amp; business","Holiday"},0)),"?"))</f>
        <v/>
      </c>
      <c r="E15" s="146" t="str">
        <f ca="1">IF($AD15="","",IF(INDEX(Events!$D$5:$D$304,$AD15)="High","●  ",IF(INDEX(Events!$D$5:$D$304,$AD15)="Medium","○  ","    "))&amp;IF(INDEX(Events!$B$5:$B$304,$AD15)="","all day",TEXT(INDEX(Events!$B$5:$B$304,$AD15),"hh:mm"))&amp;"   "&amp;INDEX(Events!$C$5:$C$304,$AD15)&amp;"   "&amp;INDEX(Events!$F$5:$F$304,$AD15))</f>
        <v/>
      </c>
      <c r="F15" s="145" t="str">
        <f ca="1">IF($AE15="","",IFERROR(INDEX({"CB","SPK","GOV","INF","JOB","BIZ","HOL"},MATCH(INDEX(Events!$E$5:$E$304,$AE15),{"Central bank","CB speech","Government","Inflation","Jobs","Growth &amp; business","Holiday"},0)),"?"))</f>
        <v>INF</v>
      </c>
      <c r="G15" s="146" t="str">
        <f ca="1">IF($AE15="","",IF(INDEX(Events!$D$5:$D$304,$AE15)="High","●  ",IF(INDEX(Events!$D$5:$D$304,$AE15)="Medium","○  ","    "))&amp;IF(INDEX(Events!$B$5:$B$304,$AE15)="","all day",TEXT(INDEX(Events!$B$5:$B$304,$AE15),"hh:mm"))&amp;"   "&amp;INDEX(Events!$C$5:$C$304,$AE15)&amp;"   "&amp;INDEX(Events!$F$5:$F$304,$AE15))</f>
        <v>●  14:30   USD   Core CPI m/m</v>
      </c>
      <c r="H15" s="145" t="str">
        <f ca="1">IF($AF15="","",IFERROR(INDEX({"CB","SPK","GOV","INF","JOB","BIZ","HOL"},MATCH(INDEX(Events!$E$5:$E$304,$AF15),{"Central bank","CB speech","Government","Inflation","Jobs","Growth &amp; business","Holiday"},0)),"?"))</f>
        <v>GOV</v>
      </c>
      <c r="I15" s="146" t="str">
        <f ca="1">IF($AF15="","",IF(INDEX(Events!$D$5:$D$304,$AF15)="High","●  ",IF(INDEX(Events!$D$5:$D$304,$AF15)="Medium","○  ","    "))&amp;IF(INDEX(Events!$B$5:$B$304,$AF15)="","all day",TEXT(INDEX(Events!$B$5:$B$304,$AF15),"hh:mm"))&amp;"   "&amp;INDEX(Events!$C$5:$C$304,$AF15)&amp;"   "&amp;INDEX(Events!$F$5:$F$304,$AF15))</f>
        <v>○  12:15   EUR   EU Economic Summit</v>
      </c>
      <c r="J15" s="145" t="str">
        <f ca="1">IF($AG15="","",IFERROR(INDEX({"CB","SPK","GOV","INF","JOB","BIZ","HOL"},MATCH(INDEX(Events!$E$5:$E$304,$AG15),{"Central bank","CB speech","Government","Inflation","Jobs","Growth &amp; business","Holiday"},0)),"?"))</f>
        <v/>
      </c>
      <c r="K15" s="146" t="str">
        <f ca="1">IF($AG15="","",IF(INDEX(Events!$D$5:$D$304,$AG15)="High","●  ",IF(INDEX(Events!$D$5:$D$304,$AG15)="Medium","○  ","    "))&amp;IF(INDEX(Events!$B$5:$B$304,$AG15)="","all day",TEXT(INDEX(Events!$B$5:$B$304,$AG15),"hh:mm"))&amp;"   "&amp;INDEX(Events!$C$5:$C$304,$AG15)&amp;"   "&amp;INDEX(Events!$F$5:$F$304,$AG15))</f>
        <v/>
      </c>
      <c r="M15" s="148">
        <f ca="1">(DATE(YEAR($H$6),MONTH($H$6),1)-WEEKDAY(DATE(YEAR($H$6),MONTH($H$6),1),3))+21</f>
        <v>46314</v>
      </c>
      <c r="N15" s="148">
        <f ca="1">(DATE(YEAR($H$6),MONTH($H$6),1)-WEEKDAY(DATE(YEAR($H$6),MONTH($H$6),1),3))+22</f>
        <v>46315</v>
      </c>
      <c r="O15" s="148">
        <f ca="1">(DATE(YEAR($H$6),MONTH($H$6),1)-WEEKDAY(DATE(YEAR($H$6),MONTH($H$6),1),3))+23</f>
        <v>46316</v>
      </c>
      <c r="P15" s="148">
        <f ca="1">(DATE(YEAR($H$6),MONTH($H$6),1)-WEEKDAY(DATE(YEAR($H$6),MONTH($H$6),1),3))+24</f>
        <v>46317</v>
      </c>
      <c r="Q15" s="148">
        <f ca="1">(DATE(YEAR($H$6),MONTH($H$6),1)-WEEKDAY(DATE(YEAR($H$6),MONTH($H$6),1),3))+25</f>
        <v>46318</v>
      </c>
      <c r="R15" s="148">
        <f ca="1">(DATE(YEAR($H$6),MONTH($H$6),1)-WEEKDAY(DATE(YEAR($H$6),MONTH($H$6),1),3))+26</f>
        <v>46319</v>
      </c>
      <c r="S15" s="148">
        <f ca="1">(DATE(YEAR($H$6),MONTH($H$6),1)-WEEKDAY(DATE(YEAR($H$6),MONTH($H$6),1),3))+27</f>
        <v>46320</v>
      </c>
      <c r="U15" s="148">
        <f ca="1">(EDATE(DATE(YEAR($H$6),MONTH($H$6),1),1)-WEEKDAY(EDATE(DATE(YEAR($H$6),MONTH($H$6),1),1),3))+21</f>
        <v>46342</v>
      </c>
      <c r="V15" s="148">
        <f ca="1">(EDATE(DATE(YEAR($H$6),MONTH($H$6),1),1)-WEEKDAY(EDATE(DATE(YEAR($H$6),MONTH($H$6),1),1),3))+22</f>
        <v>46343</v>
      </c>
      <c r="W15" s="148">
        <f ca="1">(EDATE(DATE(YEAR($H$6),MONTH($H$6),1),1)-WEEKDAY(EDATE(DATE(YEAR($H$6),MONTH($H$6),1),1),3))+23</f>
        <v>46344</v>
      </c>
      <c r="X15" s="148">
        <f ca="1">(EDATE(DATE(YEAR($H$6),MONTH($H$6),1),1)-WEEKDAY(EDATE(DATE(YEAR($H$6),MONTH($H$6),1),1),3))+24</f>
        <v>46345</v>
      </c>
      <c r="Y15" s="148">
        <f ca="1">(EDATE(DATE(YEAR($H$6),MONTH($H$6),1),1)-WEEKDAY(EDATE(DATE(YEAR($H$6),MONTH($H$6),1),1),3))+25</f>
        <v>46346</v>
      </c>
      <c r="Z15" s="148">
        <f ca="1">(EDATE(DATE(YEAR($H$6),MONTH($H$6),1),1)-WEEKDAY(EDATE(DATE(YEAR($H$6),MONTH($H$6),1),1),3))+26</f>
        <v>46347</v>
      </c>
      <c r="AA15" s="148">
        <f ca="1">(EDATE(DATE(YEAR($H$6),MONTH($H$6),1),1)-WEEKDAY(EDATE(DATE(YEAR($H$6),MONTH($H$6),1),1),3))+27</f>
        <v>46348</v>
      </c>
      <c r="AC15" t="str">
        <f ca="1">IFERROR(MATCH(TEXT(B$10,"yyyymmdd")&amp;"|"&amp;$A15,Events!$M$5:$M$304,0),"")</f>
        <v/>
      </c>
      <c r="AD15" t="str">
        <f ca="1">IFERROR(MATCH(TEXT(D$10,"yyyymmdd")&amp;"|"&amp;$A15,Events!$M$5:$M$304,0),"")</f>
        <v/>
      </c>
      <c r="AE15">
        <f ca="1">IFERROR(MATCH(TEXT(F$10,"yyyymmdd")&amp;"|"&amp;$A15,Events!$M$5:$M$304,0),"")</f>
        <v>29</v>
      </c>
      <c r="AF15">
        <f ca="1">IFERROR(MATCH(TEXT(H$10,"yyyymmdd")&amp;"|"&amp;$A15,Events!$M$5:$M$304,0),"")</f>
        <v>37</v>
      </c>
      <c r="AG15" t="str">
        <f ca="1">IFERROR(MATCH(TEXT(J$10,"yyyymmdd")&amp;"|"&amp;$A15,Events!$M$5:$M$304,0),"")</f>
        <v/>
      </c>
    </row>
    <row r="16" spans="1:33" ht="20.100000000000001" customHeight="1" x14ac:dyDescent="0.25">
      <c r="A16" s="144">
        <v>6</v>
      </c>
      <c r="B16" s="145" t="str">
        <f ca="1">IF($AC16="","",IFERROR(INDEX({"CB","SPK","GOV","INF","JOB","BIZ","HOL"},MATCH(INDEX(Events!$E$5:$E$304,$AC16),{"Central bank","CB speech","Government","Inflation","Jobs","Growth &amp; business","Holiday"},0)),"?"))</f>
        <v/>
      </c>
      <c r="C16" s="146" t="str">
        <f ca="1">IF($AC16="","",IF(INDEX(Events!$D$5:$D$304,$AC16)="High","●  ",IF(INDEX(Events!$D$5:$D$304,$AC16)="Medium","○  ","    "))&amp;IF(INDEX(Events!$B$5:$B$304,$AC16)="","all day",TEXT(INDEX(Events!$B$5:$B$304,$AC16),"hh:mm"))&amp;"   "&amp;INDEX(Events!$C$5:$C$304,$AC16)&amp;"   "&amp;INDEX(Events!$F$5:$F$304,$AC16))</f>
        <v/>
      </c>
      <c r="D16" s="145" t="str">
        <f ca="1">IF($AD16="","",IFERROR(INDEX({"CB","SPK","GOV","INF","JOB","BIZ","HOL"},MATCH(INDEX(Events!$E$5:$E$304,$AD16),{"Central bank","CB speech","Government","Inflation","Jobs","Growth &amp; business","Holiday"},0)),"?"))</f>
        <v/>
      </c>
      <c r="E16" s="146" t="str">
        <f ca="1">IF($AD16="","",IF(INDEX(Events!$D$5:$D$304,$AD16)="High","●  ",IF(INDEX(Events!$D$5:$D$304,$AD16)="Medium","○  ","    "))&amp;IF(INDEX(Events!$B$5:$B$304,$AD16)="","all day",TEXT(INDEX(Events!$B$5:$B$304,$AD16),"hh:mm"))&amp;"   "&amp;INDEX(Events!$C$5:$C$304,$AD16)&amp;"   "&amp;INDEX(Events!$F$5:$F$304,$AD16))</f>
        <v/>
      </c>
      <c r="F16" s="145" t="str">
        <f ca="1">IF($AE16="","",IFERROR(INDEX({"CB","SPK","GOV","INF","JOB","BIZ","HOL"},MATCH(INDEX(Events!$E$5:$E$304,$AE16),{"Central bank","CB speech","Government","Inflation","Jobs","Growth &amp; business","Holiday"},0)),"?"))</f>
        <v>INF</v>
      </c>
      <c r="G16" s="146" t="str">
        <f ca="1">IF($AE16="","",IF(INDEX(Events!$D$5:$D$304,$AE16)="High","●  ",IF(INDEX(Events!$D$5:$D$304,$AE16)="Medium","○  ","    "))&amp;IF(INDEX(Events!$B$5:$B$304,$AE16)="","all day",TEXT(INDEX(Events!$B$5:$B$304,$AE16),"hh:mm"))&amp;"   "&amp;INDEX(Events!$C$5:$C$304,$AE16)&amp;"   "&amp;INDEX(Events!$F$5:$F$304,$AE16))</f>
        <v>●  14:30   USD   Core CPI y/y</v>
      </c>
      <c r="H16" s="145" t="str">
        <f ca="1">IF($AF16="","",IFERROR(INDEX({"CB","SPK","GOV","INF","JOB","BIZ","HOL"},MATCH(INDEX(Events!$E$5:$E$304,$AF16),{"Central bank","CB speech","Government","Inflation","Jobs","Growth &amp; business","Holiday"},0)),"?"))</f>
        <v>INF</v>
      </c>
      <c r="I16" s="146" t="str">
        <f ca="1">IF($AF16="","",IF(INDEX(Events!$D$5:$D$304,$AF16)="High","●  ",IF(INDEX(Events!$D$5:$D$304,$AF16)="Medium","○  ","    "))&amp;IF(INDEX(Events!$B$5:$B$304,$AF16)="","all day",TEXT(INDEX(Events!$B$5:$B$304,$AF16),"hh:mm"))&amp;"   "&amp;INDEX(Events!$C$5:$C$304,$AF16)&amp;"   "&amp;INDEX(Events!$F$5:$F$304,$AF16))</f>
        <v>●  14:30   USD   Core PPI m/m</v>
      </c>
      <c r="J16" s="145" t="str">
        <f ca="1">IF($AG16="","",IFERROR(INDEX({"CB","SPK","GOV","INF","JOB","BIZ","HOL"},MATCH(INDEX(Events!$E$5:$E$304,$AG16),{"Central bank","CB speech","Government","Inflation","Jobs","Growth &amp; business","Holiday"},0)),"?"))</f>
        <v/>
      </c>
      <c r="K16" s="146" t="str">
        <f ca="1">IF($AG16="","",IF(INDEX(Events!$D$5:$D$304,$AG16)="High","●  ",IF(INDEX(Events!$D$5:$D$304,$AG16)="Medium","○  ","    "))&amp;IF(INDEX(Events!$B$5:$B$304,$AG16)="","all day",TEXT(INDEX(Events!$B$5:$B$304,$AG16),"hh:mm"))&amp;"   "&amp;INDEX(Events!$C$5:$C$304,$AG16)&amp;"   "&amp;INDEX(Events!$F$5:$F$304,$AG16))</f>
        <v/>
      </c>
      <c r="M16" s="148">
        <f ca="1">(DATE(YEAR($H$6),MONTH($H$6),1)-WEEKDAY(DATE(YEAR($H$6),MONTH($H$6),1),3))+28</f>
        <v>46321</v>
      </c>
      <c r="N16" s="148">
        <f ca="1">(DATE(YEAR($H$6),MONTH($H$6),1)-WEEKDAY(DATE(YEAR($H$6),MONTH($H$6),1),3))+29</f>
        <v>46322</v>
      </c>
      <c r="O16" s="148">
        <f ca="1">(DATE(YEAR($H$6),MONTH($H$6),1)-WEEKDAY(DATE(YEAR($H$6),MONTH($H$6),1),3))+30</f>
        <v>46323</v>
      </c>
      <c r="P16" s="148">
        <f ca="1">(DATE(YEAR($H$6),MONTH($H$6),1)-WEEKDAY(DATE(YEAR($H$6),MONTH($H$6),1),3))+31</f>
        <v>46324</v>
      </c>
      <c r="Q16" s="148">
        <f ca="1">(DATE(YEAR($H$6),MONTH($H$6),1)-WEEKDAY(DATE(YEAR($H$6),MONTH($H$6),1),3))+32</f>
        <v>46325</v>
      </c>
      <c r="R16" s="148">
        <f ca="1">(DATE(YEAR($H$6),MONTH($H$6),1)-WEEKDAY(DATE(YEAR($H$6),MONTH($H$6),1),3))+33</f>
        <v>46326</v>
      </c>
      <c r="S16" s="148">
        <f ca="1">(DATE(YEAR($H$6),MONTH($H$6),1)-WEEKDAY(DATE(YEAR($H$6),MONTH($H$6),1),3))+34</f>
        <v>46327</v>
      </c>
      <c r="U16" s="148">
        <f ca="1">(EDATE(DATE(YEAR($H$6),MONTH($H$6),1),1)-WEEKDAY(EDATE(DATE(YEAR($H$6),MONTH($H$6),1),1),3))+28</f>
        <v>46349</v>
      </c>
      <c r="V16" s="148">
        <f ca="1">(EDATE(DATE(YEAR($H$6),MONTH($H$6),1),1)-WEEKDAY(EDATE(DATE(YEAR($H$6),MONTH($H$6),1),1),3))+29</f>
        <v>46350</v>
      </c>
      <c r="W16" s="148">
        <f ca="1">(EDATE(DATE(YEAR($H$6),MONTH($H$6),1),1)-WEEKDAY(EDATE(DATE(YEAR($H$6),MONTH($H$6),1),1),3))+30</f>
        <v>46351</v>
      </c>
      <c r="X16" s="148">
        <f ca="1">(EDATE(DATE(YEAR($H$6),MONTH($H$6),1),1)-WEEKDAY(EDATE(DATE(YEAR($H$6),MONTH($H$6),1),1),3))+31</f>
        <v>46352</v>
      </c>
      <c r="Y16" s="148">
        <f ca="1">(EDATE(DATE(YEAR($H$6),MONTH($H$6),1),1)-WEEKDAY(EDATE(DATE(YEAR($H$6),MONTH($H$6),1),1),3))+32</f>
        <v>46353</v>
      </c>
      <c r="Z16" s="148">
        <f ca="1">(EDATE(DATE(YEAR($H$6),MONTH($H$6),1),1)-WEEKDAY(EDATE(DATE(YEAR($H$6),MONTH($H$6),1),1),3))+33</f>
        <v>46354</v>
      </c>
      <c r="AA16" s="148">
        <f ca="1">(EDATE(DATE(YEAR($H$6),MONTH($H$6),1),1)-WEEKDAY(EDATE(DATE(YEAR($H$6),MONTH($H$6),1),1),3))+34</f>
        <v>46355</v>
      </c>
      <c r="AC16" t="str">
        <f ca="1">IFERROR(MATCH(TEXT(B$10,"yyyymmdd")&amp;"|"&amp;$A16,Events!$M$5:$M$304,0),"")</f>
        <v/>
      </c>
      <c r="AD16" t="str">
        <f ca="1">IFERROR(MATCH(TEXT(D$10,"yyyymmdd")&amp;"|"&amp;$A16,Events!$M$5:$M$304,0),"")</f>
        <v/>
      </c>
      <c r="AE16">
        <f ca="1">IFERROR(MATCH(TEXT(F$10,"yyyymmdd")&amp;"|"&amp;$A16,Events!$M$5:$M$304,0),"")</f>
        <v>30</v>
      </c>
      <c r="AF16">
        <f ca="1">IFERROR(MATCH(TEXT(H$10,"yyyymmdd")&amp;"|"&amp;$A16,Events!$M$5:$M$304,0),"")</f>
        <v>38</v>
      </c>
      <c r="AG16" t="str">
        <f ca="1">IFERROR(MATCH(TEXT(J$10,"yyyymmdd")&amp;"|"&amp;$A16,Events!$M$5:$M$304,0),"")</f>
        <v/>
      </c>
    </row>
    <row r="17" spans="1:33" ht="20.100000000000001" customHeight="1" x14ac:dyDescent="0.25">
      <c r="A17" s="144">
        <v>7</v>
      </c>
      <c r="B17" s="145" t="str">
        <f ca="1">IF($AC17="","",IFERROR(INDEX({"CB","SPK","GOV","INF","JOB","BIZ","HOL"},MATCH(INDEX(Events!$E$5:$E$304,$AC17),{"Central bank","CB speech","Government","Inflation","Jobs","Growth &amp; business","Holiday"},0)),"?"))</f>
        <v/>
      </c>
      <c r="C17" s="146" t="str">
        <f ca="1">IF($AC17="","",IF(INDEX(Events!$D$5:$D$304,$AC17)="High","●  ",IF(INDEX(Events!$D$5:$D$304,$AC17)="Medium","○  ","    "))&amp;IF(INDEX(Events!$B$5:$B$304,$AC17)="","all day",TEXT(INDEX(Events!$B$5:$B$304,$AC17),"hh:mm"))&amp;"   "&amp;INDEX(Events!$C$5:$C$304,$AC17)&amp;"   "&amp;INDEX(Events!$F$5:$F$304,$AC17))</f>
        <v/>
      </c>
      <c r="D17" s="145" t="str">
        <f ca="1">IF($AD17="","",IFERROR(INDEX({"CB","SPK","GOV","INF","JOB","BIZ","HOL"},MATCH(INDEX(Events!$E$5:$E$304,$AD17),{"Central bank","CB speech","Government","Inflation","Jobs","Growth &amp; business","Holiday"},0)),"?"))</f>
        <v/>
      </c>
      <c r="E17" s="146" t="str">
        <f ca="1">IF($AD17="","",IF(INDEX(Events!$D$5:$D$304,$AD17)="High","●  ",IF(INDEX(Events!$D$5:$D$304,$AD17)="Medium","○  ","    "))&amp;IF(INDEX(Events!$B$5:$B$304,$AD17)="","all day",TEXT(INDEX(Events!$B$5:$B$304,$AD17),"hh:mm"))&amp;"   "&amp;INDEX(Events!$C$5:$C$304,$AD17)&amp;"   "&amp;INDEX(Events!$F$5:$F$304,$AD17))</f>
        <v/>
      </c>
      <c r="F17" s="145" t="str">
        <f ca="1">IF($AE17="","",IFERROR(INDEX({"CB","SPK","GOV","INF","JOB","BIZ","HOL"},MATCH(INDEX(Events!$E$5:$E$304,$AE17),{"Central bank","CB speech","Government","Inflation","Jobs","Growth &amp; business","Holiday"},0)),"?"))</f>
        <v>INF</v>
      </c>
      <c r="G17" s="146" t="str">
        <f ca="1">IF($AE17="","",IF(INDEX(Events!$D$5:$D$304,$AE17)="High","●  ",IF(INDEX(Events!$D$5:$D$304,$AE17)="Medium","○  ","    "))&amp;IF(INDEX(Events!$B$5:$B$304,$AE17)="","all day",TEXT(INDEX(Events!$B$5:$B$304,$AE17),"hh:mm"))&amp;"   "&amp;INDEX(Events!$C$5:$C$304,$AE17)&amp;"   "&amp;INDEX(Events!$F$5:$F$304,$AE17))</f>
        <v>●  14:30   USD   CPI m/m</v>
      </c>
      <c r="H17" s="145" t="str">
        <f ca="1">IF($AF17="","",IFERROR(INDEX({"CB","SPK","GOV","INF","JOB","BIZ","HOL"},MATCH(INDEX(Events!$E$5:$E$304,$AF17),{"Central bank","CB speech","Government","Inflation","Jobs","Growth &amp; business","Holiday"},0)),"?"))</f>
        <v>BIZ</v>
      </c>
      <c r="I17" s="146" t="str">
        <f ca="1">IF($AF17="","",IF(INDEX(Events!$D$5:$D$304,$AF17)="High","●  ",IF(INDEX(Events!$D$5:$D$304,$AF17)="Medium","○  ","    "))&amp;IF(INDEX(Events!$B$5:$B$304,$AF17)="","all day",TEXT(INDEX(Events!$B$5:$B$304,$AF17),"hh:mm"))&amp;"   "&amp;INDEX(Events!$C$5:$C$304,$AF17)&amp;"   "&amp;INDEX(Events!$F$5:$F$304,$AF17))</f>
        <v>●  14:30   USD   Core Retail Sales m/m</v>
      </c>
      <c r="J17" s="145" t="str">
        <f ca="1">IF($AG17="","",IFERROR(INDEX({"CB","SPK","GOV","INF","JOB","BIZ","HOL"},MATCH(INDEX(Events!$E$5:$E$304,$AG17),{"Central bank","CB speech","Government","Inflation","Jobs","Growth &amp; business","Holiday"},0)),"?"))</f>
        <v/>
      </c>
      <c r="K17" s="146" t="str">
        <f ca="1">IF($AG17="","",IF(INDEX(Events!$D$5:$D$304,$AG17)="High","●  ",IF(INDEX(Events!$D$5:$D$304,$AG17)="Medium","○  ","    "))&amp;IF(INDEX(Events!$B$5:$B$304,$AG17)="","all day",TEXT(INDEX(Events!$B$5:$B$304,$AG17),"hh:mm"))&amp;"   "&amp;INDEX(Events!$C$5:$C$304,$AG17)&amp;"   "&amp;INDEX(Events!$F$5:$F$304,$AG17))</f>
        <v/>
      </c>
      <c r="M17" s="148">
        <f ca="1">(DATE(YEAR($H$6),MONTH($H$6),1)-WEEKDAY(DATE(YEAR($H$6),MONTH($H$6),1),3))+35</f>
        <v>46328</v>
      </c>
      <c r="N17" s="148">
        <f ca="1">(DATE(YEAR($H$6),MONTH($H$6),1)-WEEKDAY(DATE(YEAR($H$6),MONTH($H$6),1),3))+36</f>
        <v>46329</v>
      </c>
      <c r="O17" s="148">
        <f ca="1">(DATE(YEAR($H$6),MONTH($H$6),1)-WEEKDAY(DATE(YEAR($H$6),MONTH($H$6),1),3))+37</f>
        <v>46330</v>
      </c>
      <c r="P17" s="148">
        <f ca="1">(DATE(YEAR($H$6),MONTH($H$6),1)-WEEKDAY(DATE(YEAR($H$6),MONTH($H$6),1),3))+38</f>
        <v>46331</v>
      </c>
      <c r="Q17" s="148">
        <f ca="1">(DATE(YEAR($H$6),MONTH($H$6),1)-WEEKDAY(DATE(YEAR($H$6),MONTH($H$6),1),3))+39</f>
        <v>46332</v>
      </c>
      <c r="R17" s="148">
        <f ca="1">(DATE(YEAR($H$6),MONTH($H$6),1)-WEEKDAY(DATE(YEAR($H$6),MONTH($H$6),1),3))+40</f>
        <v>46333</v>
      </c>
      <c r="S17" s="148">
        <f ca="1">(DATE(YEAR($H$6),MONTH($H$6),1)-WEEKDAY(DATE(YEAR($H$6),MONTH($H$6),1),3))+41</f>
        <v>46334</v>
      </c>
      <c r="U17" s="148">
        <f ca="1">(EDATE(DATE(YEAR($H$6),MONTH($H$6),1),1)-WEEKDAY(EDATE(DATE(YEAR($H$6),MONTH($H$6),1),1),3))+35</f>
        <v>46356</v>
      </c>
      <c r="V17" s="148">
        <f ca="1">(EDATE(DATE(YEAR($H$6),MONTH($H$6),1),1)-WEEKDAY(EDATE(DATE(YEAR($H$6),MONTH($H$6),1),1),3))+36</f>
        <v>46357</v>
      </c>
      <c r="W17" s="148">
        <f ca="1">(EDATE(DATE(YEAR($H$6),MONTH($H$6),1),1)-WEEKDAY(EDATE(DATE(YEAR($H$6),MONTH($H$6),1),1),3))+37</f>
        <v>46358</v>
      </c>
      <c r="X17" s="148">
        <f ca="1">(EDATE(DATE(YEAR($H$6),MONTH($H$6),1),1)-WEEKDAY(EDATE(DATE(YEAR($H$6),MONTH($H$6),1),1),3))+38</f>
        <v>46359</v>
      </c>
      <c r="Y17" s="148">
        <f ca="1">(EDATE(DATE(YEAR($H$6),MONTH($H$6),1),1)-WEEKDAY(EDATE(DATE(YEAR($H$6),MONTH($H$6),1),1),3))+39</f>
        <v>46360</v>
      </c>
      <c r="Z17" s="148">
        <f ca="1">(EDATE(DATE(YEAR($H$6),MONTH($H$6),1),1)-WEEKDAY(EDATE(DATE(YEAR($H$6),MONTH($H$6),1),1),3))+40</f>
        <v>46361</v>
      </c>
      <c r="AA17" s="148">
        <f ca="1">(EDATE(DATE(YEAR($H$6),MONTH($H$6),1),1)-WEEKDAY(EDATE(DATE(YEAR($H$6),MONTH($H$6),1),1),3))+41</f>
        <v>46362</v>
      </c>
      <c r="AC17" t="str">
        <f ca="1">IFERROR(MATCH(TEXT(B$10,"yyyymmdd")&amp;"|"&amp;$A17,Events!$M$5:$M$304,0),"")</f>
        <v/>
      </c>
      <c r="AD17" t="str">
        <f ca="1">IFERROR(MATCH(TEXT(D$10,"yyyymmdd")&amp;"|"&amp;$A17,Events!$M$5:$M$304,0),"")</f>
        <v/>
      </c>
      <c r="AE17">
        <f ca="1">IFERROR(MATCH(TEXT(F$10,"yyyymmdd")&amp;"|"&amp;$A17,Events!$M$5:$M$304,0),"")</f>
        <v>31</v>
      </c>
      <c r="AF17">
        <f ca="1">IFERROR(MATCH(TEXT(H$10,"yyyymmdd")&amp;"|"&amp;$A17,Events!$M$5:$M$304,0),"")</f>
        <v>39</v>
      </c>
      <c r="AG17" t="str">
        <f ca="1">IFERROR(MATCH(TEXT(J$10,"yyyymmdd")&amp;"|"&amp;$A17,Events!$M$5:$M$304,0),"")</f>
        <v/>
      </c>
    </row>
    <row r="18" spans="1:33" ht="20.100000000000001" customHeight="1" x14ac:dyDescent="0.25">
      <c r="A18" s="144">
        <v>8</v>
      </c>
      <c r="B18" s="145" t="str">
        <f ca="1">IF($AC18="","",IFERROR(INDEX({"CB","SPK","GOV","INF","JOB","BIZ","HOL"},MATCH(INDEX(Events!$E$5:$E$304,$AC18),{"Central bank","CB speech","Government","Inflation","Jobs","Growth &amp; business","Holiday"},0)),"?"))</f>
        <v/>
      </c>
      <c r="C18" s="146" t="str">
        <f ca="1">IF($AC18="","",IF(INDEX(Events!$D$5:$D$304,$AC18)="High","●  ",IF(INDEX(Events!$D$5:$D$304,$AC18)="Medium","○  ","    "))&amp;IF(INDEX(Events!$B$5:$B$304,$AC18)="","all day",TEXT(INDEX(Events!$B$5:$B$304,$AC18),"hh:mm"))&amp;"   "&amp;INDEX(Events!$C$5:$C$304,$AC18)&amp;"   "&amp;INDEX(Events!$F$5:$F$304,$AC18))</f>
        <v/>
      </c>
      <c r="D18" s="145" t="str">
        <f ca="1">IF($AD18="","",IFERROR(INDEX({"CB","SPK","GOV","INF","JOB","BIZ","HOL"},MATCH(INDEX(Events!$E$5:$E$304,$AD18),{"Central bank","CB speech","Government","Inflation","Jobs","Growth &amp; business","Holiday"},0)),"?"))</f>
        <v/>
      </c>
      <c r="E18" s="146" t="str">
        <f ca="1">IF($AD18="","",IF(INDEX(Events!$D$5:$D$304,$AD18)="High","●  ",IF(INDEX(Events!$D$5:$D$304,$AD18)="Medium","○  ","    "))&amp;IF(INDEX(Events!$B$5:$B$304,$AD18)="","all day",TEXT(INDEX(Events!$B$5:$B$304,$AD18),"hh:mm"))&amp;"   "&amp;INDEX(Events!$C$5:$C$304,$AD18)&amp;"   "&amp;INDEX(Events!$F$5:$F$304,$AD18))</f>
        <v/>
      </c>
      <c r="F18" s="145" t="str">
        <f ca="1">IF($AE18="","",IFERROR(INDEX({"CB","SPK","GOV","INF","JOB","BIZ","HOL"},MATCH(INDEX(Events!$E$5:$E$304,$AE18),{"Central bank","CB speech","Government","Inflation","Jobs","Growth &amp; business","Holiday"},0)),"?"))</f>
        <v>INF</v>
      </c>
      <c r="G18" s="146" t="str">
        <f ca="1">IF($AE18="","",IF(INDEX(Events!$D$5:$D$304,$AE18)="High","●  ",IF(INDEX(Events!$D$5:$D$304,$AE18)="Medium","○  ","    "))&amp;IF(INDEX(Events!$B$5:$B$304,$AE18)="","all day",TEXT(INDEX(Events!$B$5:$B$304,$AE18),"hh:mm"))&amp;"   "&amp;INDEX(Events!$C$5:$C$304,$AE18)&amp;"   "&amp;INDEX(Events!$F$5:$F$304,$AE18))</f>
        <v>●  14:30   USD   CPI y/y</v>
      </c>
      <c r="H18" s="145" t="str">
        <f ca="1">IF($AF18="","",IFERROR(INDEX({"CB","SPK","GOV","INF","JOB","BIZ","HOL"},MATCH(INDEX(Events!$E$5:$E$304,$AF18),{"Central bank","CB speech","Government","Inflation","Jobs","Growth &amp; business","Holiday"},0)),"?"))</f>
        <v>INF</v>
      </c>
      <c r="I18" s="146" t="str">
        <f ca="1">IF($AF18="","",IF(INDEX(Events!$D$5:$D$304,$AF18)="High","●  ",IF(INDEX(Events!$D$5:$D$304,$AF18)="Medium","○  ","    "))&amp;IF(INDEX(Events!$B$5:$B$304,$AF18)="","all day",TEXT(INDEX(Events!$B$5:$B$304,$AF18),"hh:mm"))&amp;"   "&amp;INDEX(Events!$C$5:$C$304,$AF18)&amp;"   "&amp;INDEX(Events!$F$5:$F$304,$AF18))</f>
        <v>●  14:30   USD   PPI m/m</v>
      </c>
      <c r="J18" s="145" t="str">
        <f ca="1">IF($AG18="","",IFERROR(INDEX({"CB","SPK","GOV","INF","JOB","BIZ","HOL"},MATCH(INDEX(Events!$E$5:$E$304,$AG18),{"Central bank","CB speech","Government","Inflation","Jobs","Growth &amp; business","Holiday"},0)),"?"))</f>
        <v/>
      </c>
      <c r="K18" s="146" t="str">
        <f ca="1">IF($AG18="","",IF(INDEX(Events!$D$5:$D$304,$AG18)="High","●  ",IF(INDEX(Events!$D$5:$D$304,$AG18)="Medium","○  ","    "))&amp;IF(INDEX(Events!$B$5:$B$304,$AG18)="","all day",TEXT(INDEX(Events!$B$5:$B$304,$AG18),"hh:mm"))&amp;"   "&amp;INDEX(Events!$C$5:$C$304,$AG18)&amp;"   "&amp;INDEX(Events!$F$5:$F$304,$AG18))</f>
        <v/>
      </c>
      <c r="AC18" t="str">
        <f ca="1">IFERROR(MATCH(TEXT(B$10,"yyyymmdd")&amp;"|"&amp;$A18,Events!$M$5:$M$304,0),"")</f>
        <v/>
      </c>
      <c r="AD18" t="str">
        <f ca="1">IFERROR(MATCH(TEXT(D$10,"yyyymmdd")&amp;"|"&amp;$A18,Events!$M$5:$M$304,0),"")</f>
        <v/>
      </c>
      <c r="AE18">
        <f ca="1">IFERROR(MATCH(TEXT(F$10,"yyyymmdd")&amp;"|"&amp;$A18,Events!$M$5:$M$304,0),"")</f>
        <v>32</v>
      </c>
      <c r="AF18">
        <f ca="1">IFERROR(MATCH(TEXT(H$10,"yyyymmdd")&amp;"|"&amp;$A18,Events!$M$5:$M$304,0),"")</f>
        <v>40</v>
      </c>
      <c r="AG18" t="str">
        <f ca="1">IFERROR(MATCH(TEXT(J$10,"yyyymmdd")&amp;"|"&amp;$A18,Events!$M$5:$M$304,0),"")</f>
        <v/>
      </c>
    </row>
    <row r="19" spans="1:33" ht="20.100000000000001" customHeight="1" x14ac:dyDescent="0.25">
      <c r="A19" s="144">
        <v>9</v>
      </c>
      <c r="B19" s="145" t="str">
        <f ca="1">IF($AC19="","",IFERROR(INDEX({"CB","SPK","GOV","INF","JOB","BIZ","HOL"},MATCH(INDEX(Events!$E$5:$E$304,$AC19),{"Central bank","CB speech","Government","Inflation","Jobs","Growth &amp; business","Holiday"},0)),"?"))</f>
        <v/>
      </c>
      <c r="C19" s="146" t="str">
        <f ca="1">IF($AC19="","",IF(INDEX(Events!$D$5:$D$304,$AC19)="High","●  ",IF(INDEX(Events!$D$5:$D$304,$AC19)="Medium","○  ","    "))&amp;IF(INDEX(Events!$B$5:$B$304,$AC19)="","all day",TEXT(INDEX(Events!$B$5:$B$304,$AC19),"hh:mm"))&amp;"   "&amp;INDEX(Events!$C$5:$C$304,$AC19)&amp;"   "&amp;INDEX(Events!$F$5:$F$304,$AC19))</f>
        <v/>
      </c>
      <c r="D19" s="145" t="str">
        <f ca="1">IF($AD19="","",IFERROR(INDEX({"CB","SPK","GOV","INF","JOB","BIZ","HOL"},MATCH(INDEX(Events!$E$5:$E$304,$AD19),{"Central bank","CB speech","Government","Inflation","Jobs","Growth &amp; business","Holiday"},0)),"?"))</f>
        <v/>
      </c>
      <c r="E19" s="146" t="str">
        <f ca="1">IF($AD19="","",IF(INDEX(Events!$D$5:$D$304,$AD19)="High","●  ",IF(INDEX(Events!$D$5:$D$304,$AD19)="Medium","○  ","    "))&amp;IF(INDEX(Events!$B$5:$B$304,$AD19)="","all day",TEXT(INDEX(Events!$B$5:$B$304,$AD19),"hh:mm"))&amp;"   "&amp;INDEX(Events!$C$5:$C$304,$AD19)&amp;"   "&amp;INDEX(Events!$F$5:$F$304,$AD19))</f>
        <v/>
      </c>
      <c r="F19" s="145" t="str">
        <f ca="1">IF($AE19="","",IFERROR(INDEX({"CB","SPK","GOV","INF","JOB","BIZ","HOL"},MATCH(INDEX(Events!$E$5:$E$304,$AE19),{"Central bank","CB speech","Government","Inflation","Jobs","Growth &amp; business","Holiday"},0)),"?"))</f>
        <v/>
      </c>
      <c r="G19" s="146" t="str">
        <f ca="1">IF($AE19="","",IF(INDEX(Events!$D$5:$D$304,$AE19)="High","●  ",IF(INDEX(Events!$D$5:$D$304,$AE19)="Medium","○  ","    "))&amp;IF(INDEX(Events!$B$5:$B$304,$AE19)="","all day",TEXT(INDEX(Events!$B$5:$B$304,$AE19),"hh:mm"))&amp;"   "&amp;INDEX(Events!$C$5:$C$304,$AE19)&amp;"   "&amp;INDEX(Events!$F$5:$F$304,$AE19))</f>
        <v/>
      </c>
      <c r="H19" s="145" t="str">
        <f ca="1">IF($AF19="","",IFERROR(INDEX({"CB","SPK","GOV","INF","JOB","BIZ","HOL"},MATCH(INDEX(Events!$E$5:$E$304,$AF19),{"Central bank","CB speech","Government","Inflation","Jobs","Growth &amp; business","Holiday"},0)),"?"))</f>
        <v>BIZ</v>
      </c>
      <c r="I19" s="146" t="str">
        <f ca="1">IF($AF19="","",IF(INDEX(Events!$D$5:$D$304,$AF19)="High","●  ",IF(INDEX(Events!$D$5:$D$304,$AF19)="Medium","○  ","    "))&amp;IF(INDEX(Events!$B$5:$B$304,$AF19)="","all day",TEXT(INDEX(Events!$B$5:$B$304,$AF19),"hh:mm"))&amp;"   "&amp;INDEX(Events!$C$5:$C$304,$AF19)&amp;"   "&amp;INDEX(Events!$F$5:$F$304,$AF19))</f>
        <v>●  14:30   USD   Retail Sales m/m</v>
      </c>
      <c r="J19" s="145" t="str">
        <f ca="1">IF($AG19="","",IFERROR(INDEX({"CB","SPK","GOV","INF","JOB","BIZ","HOL"},MATCH(INDEX(Events!$E$5:$E$304,$AG19),{"Central bank","CB speech","Government","Inflation","Jobs","Growth &amp; business","Holiday"},0)),"?"))</f>
        <v/>
      </c>
      <c r="K19" s="146" t="str">
        <f ca="1">IF($AG19="","",IF(INDEX(Events!$D$5:$D$304,$AG19)="High","●  ",IF(INDEX(Events!$D$5:$D$304,$AG19)="Medium","○  ","    "))&amp;IF(INDEX(Events!$B$5:$B$304,$AG19)="","all day",TEXT(INDEX(Events!$B$5:$B$304,$AG19),"hh:mm"))&amp;"   "&amp;INDEX(Events!$C$5:$C$304,$AG19)&amp;"   "&amp;INDEX(Events!$F$5:$F$304,$AG19))</f>
        <v/>
      </c>
      <c r="M19" s="282" t="str">
        <f ca="1">TEXT(EDATE(DATE(YEAR($H$6),MONTH($H$6),1),2),"mmmm yyyy")</f>
        <v>December 2026</v>
      </c>
      <c r="N19" s="273"/>
      <c r="O19" s="273"/>
      <c r="P19" s="273"/>
      <c r="Q19" s="273"/>
      <c r="R19" s="273"/>
      <c r="S19" s="273"/>
      <c r="U19" s="282" t="str">
        <f ca="1">TEXT(EDATE(DATE(YEAR($H$6),MONTH($H$6),1),3),"mmmm yyyy")</f>
        <v>January 2027</v>
      </c>
      <c r="V19" s="273"/>
      <c r="W19" s="273"/>
      <c r="X19" s="273"/>
      <c r="Y19" s="273"/>
      <c r="Z19" s="273"/>
      <c r="AA19" s="273"/>
      <c r="AC19" t="str">
        <f ca="1">IFERROR(MATCH(TEXT(B$10,"yyyymmdd")&amp;"|"&amp;$A19,Events!$M$5:$M$304,0),"")</f>
        <v/>
      </c>
      <c r="AD19" t="str">
        <f ca="1">IFERROR(MATCH(TEXT(D$10,"yyyymmdd")&amp;"|"&amp;$A19,Events!$M$5:$M$304,0),"")</f>
        <v/>
      </c>
      <c r="AE19" t="str">
        <f ca="1">IFERROR(MATCH(TEXT(F$10,"yyyymmdd")&amp;"|"&amp;$A19,Events!$M$5:$M$304,0),"")</f>
        <v/>
      </c>
      <c r="AF19">
        <f ca="1">IFERROR(MATCH(TEXT(H$10,"yyyymmdd")&amp;"|"&amp;$A19,Events!$M$5:$M$304,0),"")</f>
        <v>41</v>
      </c>
      <c r="AG19" t="str">
        <f ca="1">IFERROR(MATCH(TEXT(J$10,"yyyymmdd")&amp;"|"&amp;$A19,Events!$M$5:$M$304,0),"")</f>
        <v/>
      </c>
    </row>
    <row r="20" spans="1:33" ht="20.100000000000001" customHeight="1" x14ac:dyDescent="0.25">
      <c r="A20" s="144">
        <v>10</v>
      </c>
      <c r="B20" s="145" t="str">
        <f ca="1">IF($AC20="","",IFERROR(INDEX({"CB","SPK","GOV","INF","JOB","BIZ","HOL"},MATCH(INDEX(Events!$E$5:$E$304,$AC20),{"Central bank","CB speech","Government","Inflation","Jobs","Growth &amp; business","Holiday"},0)),"?"))</f>
        <v/>
      </c>
      <c r="C20" s="146" t="str">
        <f ca="1">IF($AC20="","",IF(INDEX(Events!$D$5:$D$304,$AC20)="High","●  ",IF(INDEX(Events!$D$5:$D$304,$AC20)="Medium","○  ","    "))&amp;IF(INDEX(Events!$B$5:$B$304,$AC20)="","all day",TEXT(INDEX(Events!$B$5:$B$304,$AC20),"hh:mm"))&amp;"   "&amp;INDEX(Events!$C$5:$C$304,$AC20)&amp;"   "&amp;INDEX(Events!$F$5:$F$304,$AC20))</f>
        <v/>
      </c>
      <c r="D20" s="145" t="str">
        <f ca="1">IF($AD20="","",IFERROR(INDEX({"CB","SPK","GOV","INF","JOB","BIZ","HOL"},MATCH(INDEX(Events!$E$5:$E$304,$AD20),{"Central bank","CB speech","Government","Inflation","Jobs","Growth &amp; business","Holiday"},0)),"?"))</f>
        <v/>
      </c>
      <c r="E20" s="146" t="str">
        <f ca="1">IF($AD20="","",IF(INDEX(Events!$D$5:$D$304,$AD20)="High","●  ",IF(INDEX(Events!$D$5:$D$304,$AD20)="Medium","○  ","    "))&amp;IF(INDEX(Events!$B$5:$B$304,$AD20)="","all day",TEXT(INDEX(Events!$B$5:$B$304,$AD20),"hh:mm"))&amp;"   "&amp;INDEX(Events!$C$5:$C$304,$AD20)&amp;"   "&amp;INDEX(Events!$F$5:$F$304,$AD20))</f>
        <v/>
      </c>
      <c r="F20" s="145" t="str">
        <f ca="1">IF($AE20="","",IFERROR(INDEX({"CB","SPK","GOV","INF","JOB","BIZ","HOL"},MATCH(INDEX(Events!$E$5:$E$304,$AE20),{"Central bank","CB speech","Government","Inflation","Jobs","Growth &amp; business","Holiday"},0)),"?"))</f>
        <v/>
      </c>
      <c r="G20" s="146" t="str">
        <f ca="1">IF($AE20="","",IF(INDEX(Events!$D$5:$D$304,$AE20)="High","●  ",IF(INDEX(Events!$D$5:$D$304,$AE20)="Medium","○  ","    "))&amp;IF(INDEX(Events!$B$5:$B$304,$AE20)="","all day",TEXT(INDEX(Events!$B$5:$B$304,$AE20),"hh:mm"))&amp;"   "&amp;INDEX(Events!$C$5:$C$304,$AE20)&amp;"   "&amp;INDEX(Events!$F$5:$F$304,$AE20))</f>
        <v/>
      </c>
      <c r="H20" s="145" t="str">
        <f ca="1">IF($AF20="","",IFERROR(INDEX({"CB","SPK","GOV","INF","JOB","BIZ","HOL"},MATCH(INDEX(Events!$E$5:$E$304,$AF20),{"Central bank","CB speech","Government","Inflation","Jobs","Growth &amp; business","Holiday"},0)),"?"))</f>
        <v>BIZ</v>
      </c>
      <c r="I20" s="146" t="str">
        <f ca="1">IF($AF20="","",IF(INDEX(Events!$D$5:$D$304,$AF20)="High","●  ",IF(INDEX(Events!$D$5:$D$304,$AF20)="Medium","○  ","    "))&amp;IF(INDEX(Events!$B$5:$B$304,$AF20)="","all day",TEXT(INDEX(Events!$B$5:$B$304,$AF20),"hh:mm"))&amp;"   "&amp;INDEX(Events!$C$5:$C$304,$AF20)&amp;"   "&amp;INDEX(Events!$F$5:$F$304,$AF20))</f>
        <v>○  14:30   USD   Philly Fed Manufacturing Index</v>
      </c>
      <c r="J20" s="145" t="str">
        <f ca="1">IF($AG20="","",IFERROR(INDEX({"CB","SPK","GOV","INF","JOB","BIZ","HOL"},MATCH(INDEX(Events!$E$5:$E$304,$AG20),{"Central bank","CB speech","Government","Inflation","Jobs","Growth &amp; business","Holiday"},0)),"?"))</f>
        <v/>
      </c>
      <c r="K20" s="146" t="str">
        <f ca="1">IF($AG20="","",IF(INDEX(Events!$D$5:$D$304,$AG20)="High","●  ",IF(INDEX(Events!$D$5:$D$304,$AG20)="Medium","○  ","    "))&amp;IF(INDEX(Events!$B$5:$B$304,$AG20)="","all day",TEXT(INDEX(Events!$B$5:$B$304,$AG20),"hh:mm"))&amp;"   "&amp;INDEX(Events!$C$5:$C$304,$AG20)&amp;"   "&amp;INDEX(Events!$F$5:$F$304,$AG20))</f>
        <v/>
      </c>
      <c r="M20" s="147" t="s">
        <v>264</v>
      </c>
      <c r="N20" s="147" t="s">
        <v>265</v>
      </c>
      <c r="O20" s="147" t="s">
        <v>266</v>
      </c>
      <c r="P20" s="147" t="s">
        <v>267</v>
      </c>
      <c r="Q20" s="147" t="s">
        <v>268</v>
      </c>
      <c r="R20" s="147" t="s">
        <v>269</v>
      </c>
      <c r="S20" s="147" t="s">
        <v>270</v>
      </c>
      <c r="U20" s="147" t="s">
        <v>264</v>
      </c>
      <c r="V20" s="147" t="s">
        <v>265</v>
      </c>
      <c r="W20" s="147" t="s">
        <v>266</v>
      </c>
      <c r="X20" s="147" t="s">
        <v>267</v>
      </c>
      <c r="Y20" s="147" t="s">
        <v>268</v>
      </c>
      <c r="Z20" s="147" t="s">
        <v>269</v>
      </c>
      <c r="AA20" s="147" t="s">
        <v>270</v>
      </c>
      <c r="AC20" t="str">
        <f ca="1">IFERROR(MATCH(TEXT(B$10,"yyyymmdd")&amp;"|"&amp;$A20,Events!$M$5:$M$304,0),"")</f>
        <v/>
      </c>
      <c r="AD20" t="str">
        <f ca="1">IFERROR(MATCH(TEXT(D$10,"yyyymmdd")&amp;"|"&amp;$A20,Events!$M$5:$M$304,0),"")</f>
        <v/>
      </c>
      <c r="AE20" t="str">
        <f ca="1">IFERROR(MATCH(TEXT(F$10,"yyyymmdd")&amp;"|"&amp;$A20,Events!$M$5:$M$304,0),"")</f>
        <v/>
      </c>
      <c r="AF20">
        <f ca="1">IFERROR(MATCH(TEXT(H$10,"yyyymmdd")&amp;"|"&amp;$A20,Events!$M$5:$M$304,0),"")</f>
        <v>42</v>
      </c>
      <c r="AG20" t="str">
        <f ca="1">IFERROR(MATCH(TEXT(J$10,"yyyymmdd")&amp;"|"&amp;$A20,Events!$M$5:$M$304,0),"")</f>
        <v/>
      </c>
    </row>
    <row r="21" spans="1:33" ht="20.100000000000001" customHeight="1" x14ac:dyDescent="0.25">
      <c r="A21" s="144">
        <v>11</v>
      </c>
      <c r="B21" s="145" t="str">
        <f ca="1">IF($AC21="","",IFERROR(INDEX({"CB","SPK","GOV","INF","JOB","BIZ","HOL"},MATCH(INDEX(Events!$E$5:$E$304,$AC21),{"Central bank","CB speech","Government","Inflation","Jobs","Growth &amp; business","Holiday"},0)),"?"))</f>
        <v/>
      </c>
      <c r="C21" s="146" t="str">
        <f ca="1">IF($AC21="","",IF(INDEX(Events!$D$5:$D$304,$AC21)="High","●  ",IF(INDEX(Events!$D$5:$D$304,$AC21)="Medium","○  ","    "))&amp;IF(INDEX(Events!$B$5:$B$304,$AC21)="","all day",TEXT(INDEX(Events!$B$5:$B$304,$AC21),"hh:mm"))&amp;"   "&amp;INDEX(Events!$C$5:$C$304,$AC21)&amp;"   "&amp;INDEX(Events!$F$5:$F$304,$AC21))</f>
        <v/>
      </c>
      <c r="D21" s="145" t="str">
        <f ca="1">IF($AD21="","",IFERROR(INDEX({"CB","SPK","GOV","INF","JOB","BIZ","HOL"},MATCH(INDEX(Events!$E$5:$E$304,$AD21),{"Central bank","CB speech","Government","Inflation","Jobs","Growth &amp; business","Holiday"},0)),"?"))</f>
        <v/>
      </c>
      <c r="E21" s="146" t="str">
        <f ca="1">IF($AD21="","",IF(INDEX(Events!$D$5:$D$304,$AD21)="High","●  ",IF(INDEX(Events!$D$5:$D$304,$AD21)="Medium","○  ","    "))&amp;IF(INDEX(Events!$B$5:$B$304,$AD21)="","all day",TEXT(INDEX(Events!$B$5:$B$304,$AD21),"hh:mm"))&amp;"   "&amp;INDEX(Events!$C$5:$C$304,$AD21)&amp;"   "&amp;INDEX(Events!$F$5:$F$304,$AD21))</f>
        <v/>
      </c>
      <c r="F21" s="145" t="str">
        <f ca="1">IF($AE21="","",IFERROR(INDEX({"CB","SPK","GOV","INF","JOB","BIZ","HOL"},MATCH(INDEX(Events!$E$5:$E$304,$AE21),{"Central bank","CB speech","Government","Inflation","Jobs","Growth &amp; business","Holiday"},0)),"?"))</f>
        <v/>
      </c>
      <c r="G21" s="146" t="str">
        <f ca="1">IF($AE21="","",IF(INDEX(Events!$D$5:$D$304,$AE21)="High","●  ",IF(INDEX(Events!$D$5:$D$304,$AE21)="Medium","○  ","    "))&amp;IF(INDEX(Events!$B$5:$B$304,$AE21)="","all day",TEXT(INDEX(Events!$B$5:$B$304,$AE21),"hh:mm"))&amp;"   "&amp;INDEX(Events!$C$5:$C$304,$AE21)&amp;"   "&amp;INDEX(Events!$F$5:$F$304,$AE21))</f>
        <v/>
      </c>
      <c r="H21" s="145" t="str">
        <f ca="1">IF($AF21="","",IFERROR(INDEX({"CB","SPK","GOV","INF","JOB","BIZ","HOL"},MATCH(INDEX(Events!$E$5:$E$304,$AF21),{"Central bank","CB speech","Government","Inflation","Jobs","Growth &amp; business","Holiday"},0)),"?"))</f>
        <v>JOB</v>
      </c>
      <c r="I21" s="146" t="str">
        <f ca="1">IF($AF21="","",IF(INDEX(Events!$D$5:$D$304,$AF21)="High","●  ",IF(INDEX(Events!$D$5:$D$304,$AF21)="Medium","○  ","    "))&amp;IF(INDEX(Events!$B$5:$B$304,$AF21)="","all day",TEXT(INDEX(Events!$B$5:$B$304,$AF21),"hh:mm"))&amp;"   "&amp;INDEX(Events!$C$5:$C$304,$AF21)&amp;"   "&amp;INDEX(Events!$F$5:$F$304,$AF21))</f>
        <v>○  14:30   USD   Unemployment Claims</v>
      </c>
      <c r="J21" s="145" t="str">
        <f ca="1">IF($AG21="","",IFERROR(INDEX({"CB","SPK","GOV","INF","JOB","BIZ","HOL"},MATCH(INDEX(Events!$E$5:$E$304,$AG21),{"Central bank","CB speech","Government","Inflation","Jobs","Growth &amp; business","Holiday"},0)),"?"))</f>
        <v/>
      </c>
      <c r="K21" s="146" t="str">
        <f ca="1">IF($AG21="","",IF(INDEX(Events!$D$5:$D$304,$AG21)="High","●  ",IF(INDEX(Events!$D$5:$D$304,$AG21)="Medium","○  ","    "))&amp;IF(INDEX(Events!$B$5:$B$304,$AG21)="","all day",TEXT(INDEX(Events!$B$5:$B$304,$AG21),"hh:mm"))&amp;"   "&amp;INDEX(Events!$C$5:$C$304,$AG21)&amp;"   "&amp;INDEX(Events!$F$5:$F$304,$AG21))</f>
        <v/>
      </c>
      <c r="M21" s="148">
        <f ca="1">(EDATE(DATE(YEAR($H$6),MONTH($H$6),1),2)-WEEKDAY(EDATE(DATE(YEAR($H$6),MONTH($H$6),1),2),3))+0</f>
        <v>46356</v>
      </c>
      <c r="N21" s="148">
        <f ca="1">(EDATE(DATE(YEAR($H$6),MONTH($H$6),1),2)-WEEKDAY(EDATE(DATE(YEAR($H$6),MONTH($H$6),1),2),3))+1</f>
        <v>46357</v>
      </c>
      <c r="O21" s="148">
        <f ca="1">(EDATE(DATE(YEAR($H$6),MONTH($H$6),1),2)-WEEKDAY(EDATE(DATE(YEAR($H$6),MONTH($H$6),1),2),3))+2</f>
        <v>46358</v>
      </c>
      <c r="P21" s="148">
        <f ca="1">(EDATE(DATE(YEAR($H$6),MONTH($H$6),1),2)-WEEKDAY(EDATE(DATE(YEAR($H$6),MONTH($H$6),1),2),3))+3</f>
        <v>46359</v>
      </c>
      <c r="Q21" s="148">
        <f ca="1">(EDATE(DATE(YEAR($H$6),MONTH($H$6),1),2)-WEEKDAY(EDATE(DATE(YEAR($H$6),MONTH($H$6),1),2),3))+4</f>
        <v>46360</v>
      </c>
      <c r="R21" s="148">
        <f ca="1">(EDATE(DATE(YEAR($H$6),MONTH($H$6),1),2)-WEEKDAY(EDATE(DATE(YEAR($H$6),MONTH($H$6),1),2),3))+5</f>
        <v>46361</v>
      </c>
      <c r="S21" s="148">
        <f ca="1">(EDATE(DATE(YEAR($H$6),MONTH($H$6),1),2)-WEEKDAY(EDATE(DATE(YEAR($H$6),MONTH($H$6),1),2),3))+6</f>
        <v>46362</v>
      </c>
      <c r="U21" s="148">
        <f ca="1">(EDATE(DATE(YEAR($H$6),MONTH($H$6),1),3)-WEEKDAY(EDATE(DATE(YEAR($H$6),MONTH($H$6),1),3),3))+0</f>
        <v>46384</v>
      </c>
      <c r="V21" s="148">
        <f ca="1">(EDATE(DATE(YEAR($H$6),MONTH($H$6),1),3)-WEEKDAY(EDATE(DATE(YEAR($H$6),MONTH($H$6),1),3),3))+1</f>
        <v>46385</v>
      </c>
      <c r="W21" s="148">
        <f ca="1">(EDATE(DATE(YEAR($H$6),MONTH($H$6),1),3)-WEEKDAY(EDATE(DATE(YEAR($H$6),MONTH($H$6),1),3),3))+2</f>
        <v>46386</v>
      </c>
      <c r="X21" s="148">
        <f ca="1">(EDATE(DATE(YEAR($H$6),MONTH($H$6),1),3)-WEEKDAY(EDATE(DATE(YEAR($H$6),MONTH($H$6),1),3),3))+3</f>
        <v>46387</v>
      </c>
      <c r="Y21" s="148">
        <f ca="1">(EDATE(DATE(YEAR($H$6),MONTH($H$6),1),3)-WEEKDAY(EDATE(DATE(YEAR($H$6),MONTH($H$6),1),3),3))+4</f>
        <v>46388</v>
      </c>
      <c r="Z21" s="148">
        <f ca="1">(EDATE(DATE(YEAR($H$6),MONTH($H$6),1),3)-WEEKDAY(EDATE(DATE(YEAR($H$6),MONTH($H$6),1),3),3))+5</f>
        <v>46389</v>
      </c>
      <c r="AA21" s="148">
        <f ca="1">(EDATE(DATE(YEAR($H$6),MONTH($H$6),1),3)-WEEKDAY(EDATE(DATE(YEAR($H$6),MONTH($H$6),1),3),3))+6</f>
        <v>46390</v>
      </c>
      <c r="AC21" t="str">
        <f ca="1">IFERROR(MATCH(TEXT(B$10,"yyyymmdd")&amp;"|"&amp;$A21,Events!$M$5:$M$304,0),"")</f>
        <v/>
      </c>
      <c r="AD21" t="str">
        <f ca="1">IFERROR(MATCH(TEXT(D$10,"yyyymmdd")&amp;"|"&amp;$A21,Events!$M$5:$M$304,0),"")</f>
        <v/>
      </c>
      <c r="AE21" t="str">
        <f ca="1">IFERROR(MATCH(TEXT(F$10,"yyyymmdd")&amp;"|"&amp;$A21,Events!$M$5:$M$304,0),"")</f>
        <v/>
      </c>
      <c r="AF21">
        <f ca="1">IFERROR(MATCH(TEXT(H$10,"yyyymmdd")&amp;"|"&amp;$A21,Events!$M$5:$M$304,0),"")</f>
        <v>43</v>
      </c>
      <c r="AG21" t="str">
        <f ca="1">IFERROR(MATCH(TEXT(J$10,"yyyymmdd")&amp;"|"&amp;$A21,Events!$M$5:$M$304,0),"")</f>
        <v/>
      </c>
    </row>
    <row r="22" spans="1:33" ht="20.100000000000001" customHeight="1" x14ac:dyDescent="0.25">
      <c r="A22" s="144">
        <v>12</v>
      </c>
      <c r="B22" s="145" t="str">
        <f ca="1">IF($AC22="","",IFERROR(INDEX({"CB","SPK","GOV","INF","JOB","BIZ","HOL"},MATCH(INDEX(Events!$E$5:$E$304,$AC22),{"Central bank","CB speech","Government","Inflation","Jobs","Growth &amp; business","Holiday"},0)),"?"))</f>
        <v/>
      </c>
      <c r="C22" s="146" t="str">
        <f ca="1">IF($AC22="","",IF(INDEX(Events!$D$5:$D$304,$AC22)="High","●  ",IF(INDEX(Events!$D$5:$D$304,$AC22)="Medium","○  ","    "))&amp;IF(INDEX(Events!$B$5:$B$304,$AC22)="","all day",TEXT(INDEX(Events!$B$5:$B$304,$AC22),"hh:mm"))&amp;"   "&amp;INDEX(Events!$C$5:$C$304,$AC22)&amp;"   "&amp;INDEX(Events!$F$5:$F$304,$AC22))</f>
        <v/>
      </c>
      <c r="D22" s="145" t="str">
        <f ca="1">IF($AD22="","",IFERROR(INDEX({"CB","SPK","GOV","INF","JOB","BIZ","HOL"},MATCH(INDEX(Events!$E$5:$E$304,$AD22),{"Central bank","CB speech","Government","Inflation","Jobs","Growth &amp; business","Holiday"},0)),"?"))</f>
        <v/>
      </c>
      <c r="E22" s="146" t="str">
        <f ca="1">IF($AD22="","",IF(INDEX(Events!$D$5:$D$304,$AD22)="High","●  ",IF(INDEX(Events!$D$5:$D$304,$AD22)="Medium","○  ","    "))&amp;IF(INDEX(Events!$B$5:$B$304,$AD22)="","all day",TEXT(INDEX(Events!$B$5:$B$304,$AD22),"hh:mm"))&amp;"   "&amp;INDEX(Events!$C$5:$C$304,$AD22)&amp;"   "&amp;INDEX(Events!$F$5:$F$304,$AD22))</f>
        <v/>
      </c>
      <c r="F22" s="145" t="str">
        <f ca="1">IF($AE22="","",IFERROR(INDEX({"CB","SPK","GOV","INF","JOB","BIZ","HOL"},MATCH(INDEX(Events!$E$5:$E$304,$AE22),{"Central bank","CB speech","Government","Inflation","Jobs","Growth &amp; business","Holiday"},0)),"?"))</f>
        <v/>
      </c>
      <c r="G22" s="146" t="str">
        <f ca="1">IF($AE22="","",IF(INDEX(Events!$D$5:$D$304,$AE22)="High","●  ",IF(INDEX(Events!$D$5:$D$304,$AE22)="Medium","○  ","    "))&amp;IF(INDEX(Events!$B$5:$B$304,$AE22)="","all day",TEXT(INDEX(Events!$B$5:$B$304,$AE22),"hh:mm"))&amp;"   "&amp;INDEX(Events!$C$5:$C$304,$AE22)&amp;"   "&amp;INDEX(Events!$F$5:$F$304,$AE22))</f>
        <v/>
      </c>
      <c r="H22" s="145" t="str">
        <f ca="1">IF($AF22="","",IFERROR(INDEX({"CB","SPK","GOV","INF","JOB","BIZ","HOL"},MATCH(INDEX(Events!$E$5:$E$304,$AF22),{"Central bank","CB speech","Government","Inflation","Jobs","Growth &amp; business","Holiday"},0)),"?"))</f>
        <v/>
      </c>
      <c r="I22" s="146" t="str">
        <f ca="1">IF($AF22="","",IF(INDEX(Events!$D$5:$D$304,$AF22)="High","●  ",IF(INDEX(Events!$D$5:$D$304,$AF22)="Medium","○  ","    "))&amp;IF(INDEX(Events!$B$5:$B$304,$AF22)="","all day",TEXT(INDEX(Events!$B$5:$B$304,$AF22),"hh:mm"))&amp;"   "&amp;INDEX(Events!$C$5:$C$304,$AF22)&amp;"   "&amp;INDEX(Events!$F$5:$F$304,$AF22))</f>
        <v/>
      </c>
      <c r="J22" s="145" t="str">
        <f ca="1">IF($AG22="","",IFERROR(INDEX({"CB","SPK","GOV","INF","JOB","BIZ","HOL"},MATCH(INDEX(Events!$E$5:$E$304,$AG22),{"Central bank","CB speech","Government","Inflation","Jobs","Growth &amp; business","Holiday"},0)),"?"))</f>
        <v/>
      </c>
      <c r="K22" s="146" t="str">
        <f ca="1">IF($AG22="","",IF(INDEX(Events!$D$5:$D$304,$AG22)="High","●  ",IF(INDEX(Events!$D$5:$D$304,$AG22)="Medium","○  ","    "))&amp;IF(INDEX(Events!$B$5:$B$304,$AG22)="","all day",TEXT(INDEX(Events!$B$5:$B$304,$AG22),"hh:mm"))&amp;"   "&amp;INDEX(Events!$C$5:$C$304,$AG22)&amp;"   "&amp;INDEX(Events!$F$5:$F$304,$AG22))</f>
        <v/>
      </c>
      <c r="M22" s="148">
        <f ca="1">(EDATE(DATE(YEAR($H$6),MONTH($H$6),1),2)-WEEKDAY(EDATE(DATE(YEAR($H$6),MONTH($H$6),1),2),3))+7</f>
        <v>46363</v>
      </c>
      <c r="N22" s="148">
        <f ca="1">(EDATE(DATE(YEAR($H$6),MONTH($H$6),1),2)-WEEKDAY(EDATE(DATE(YEAR($H$6),MONTH($H$6),1),2),3))+8</f>
        <v>46364</v>
      </c>
      <c r="O22" s="148">
        <f ca="1">(EDATE(DATE(YEAR($H$6),MONTH($H$6),1),2)-WEEKDAY(EDATE(DATE(YEAR($H$6),MONTH($H$6),1),2),3))+9</f>
        <v>46365</v>
      </c>
      <c r="P22" s="148">
        <f ca="1">(EDATE(DATE(YEAR($H$6),MONTH($H$6),1),2)-WEEKDAY(EDATE(DATE(YEAR($H$6),MONTH($H$6),1),2),3))+10</f>
        <v>46366</v>
      </c>
      <c r="Q22" s="148">
        <f ca="1">(EDATE(DATE(YEAR($H$6),MONTH($H$6),1),2)-WEEKDAY(EDATE(DATE(YEAR($H$6),MONTH($H$6),1),2),3))+11</f>
        <v>46367</v>
      </c>
      <c r="R22" s="148">
        <f ca="1">(EDATE(DATE(YEAR($H$6),MONTH($H$6),1),2)-WEEKDAY(EDATE(DATE(YEAR($H$6),MONTH($H$6),1),2),3))+12</f>
        <v>46368</v>
      </c>
      <c r="S22" s="148">
        <f ca="1">(EDATE(DATE(YEAR($H$6),MONTH($H$6),1),2)-WEEKDAY(EDATE(DATE(YEAR($H$6),MONTH($H$6),1),2),3))+13</f>
        <v>46369</v>
      </c>
      <c r="U22" s="148">
        <f ca="1">(EDATE(DATE(YEAR($H$6),MONTH($H$6),1),3)-WEEKDAY(EDATE(DATE(YEAR($H$6),MONTH($H$6),1),3),3))+7</f>
        <v>46391</v>
      </c>
      <c r="V22" s="148">
        <f ca="1">(EDATE(DATE(YEAR($H$6),MONTH($H$6),1),3)-WEEKDAY(EDATE(DATE(YEAR($H$6),MONTH($H$6),1),3),3))+8</f>
        <v>46392</v>
      </c>
      <c r="W22" s="148">
        <f ca="1">(EDATE(DATE(YEAR($H$6),MONTH($H$6),1),3)-WEEKDAY(EDATE(DATE(YEAR($H$6),MONTH($H$6),1),3),3))+9</f>
        <v>46393</v>
      </c>
      <c r="X22" s="148">
        <f ca="1">(EDATE(DATE(YEAR($H$6),MONTH($H$6),1),3)-WEEKDAY(EDATE(DATE(YEAR($H$6),MONTH($H$6),1),3),3))+10</f>
        <v>46394</v>
      </c>
      <c r="Y22" s="148">
        <f ca="1">(EDATE(DATE(YEAR($H$6),MONTH($H$6),1),3)-WEEKDAY(EDATE(DATE(YEAR($H$6),MONTH($H$6),1),3),3))+11</f>
        <v>46395</v>
      </c>
      <c r="Z22" s="148">
        <f ca="1">(EDATE(DATE(YEAR($H$6),MONTH($H$6),1),3)-WEEKDAY(EDATE(DATE(YEAR($H$6),MONTH($H$6),1),3),3))+12</f>
        <v>46396</v>
      </c>
      <c r="AA22" s="148">
        <f ca="1">(EDATE(DATE(YEAR($H$6),MONTH($H$6),1),3)-WEEKDAY(EDATE(DATE(YEAR($H$6),MONTH($H$6),1),3),3))+13</f>
        <v>46397</v>
      </c>
      <c r="AC22" t="str">
        <f ca="1">IFERROR(MATCH(TEXT(B$10,"yyyymmdd")&amp;"|"&amp;$A22,Events!$M$5:$M$304,0),"")</f>
        <v/>
      </c>
      <c r="AD22" t="str">
        <f ca="1">IFERROR(MATCH(TEXT(D$10,"yyyymmdd")&amp;"|"&amp;$A22,Events!$M$5:$M$304,0),"")</f>
        <v/>
      </c>
      <c r="AE22" t="str">
        <f ca="1">IFERROR(MATCH(TEXT(F$10,"yyyymmdd")&amp;"|"&amp;$A22,Events!$M$5:$M$304,0),"")</f>
        <v/>
      </c>
      <c r="AF22" t="str">
        <f ca="1">IFERROR(MATCH(TEXT(H$10,"yyyymmdd")&amp;"|"&amp;$A22,Events!$M$5:$M$304,0),"")</f>
        <v/>
      </c>
      <c r="AG22" t="str">
        <f ca="1">IFERROR(MATCH(TEXT(J$10,"yyyymmdd")&amp;"|"&amp;$A22,Events!$M$5:$M$304,0),"")</f>
        <v/>
      </c>
    </row>
    <row r="23" spans="1:33" ht="18" customHeight="1" x14ac:dyDescent="0.25">
      <c r="B23" s="291" t="s">
        <v>271</v>
      </c>
      <c r="C23" s="273"/>
      <c r="D23" s="273"/>
      <c r="E23" s="273"/>
      <c r="F23" s="273"/>
      <c r="G23" s="273"/>
      <c r="H23" s="273"/>
      <c r="I23" s="273"/>
      <c r="J23" s="273"/>
      <c r="K23" s="273"/>
      <c r="M23" s="148">
        <f ca="1">(EDATE(DATE(YEAR($H$6),MONTH($H$6),1),2)-WEEKDAY(EDATE(DATE(YEAR($H$6),MONTH($H$6),1),2),3))+14</f>
        <v>46370</v>
      </c>
      <c r="N23" s="148">
        <f ca="1">(EDATE(DATE(YEAR($H$6),MONTH($H$6),1),2)-WEEKDAY(EDATE(DATE(YEAR($H$6),MONTH($H$6),1),2),3))+15</f>
        <v>46371</v>
      </c>
      <c r="O23" s="148">
        <f ca="1">(EDATE(DATE(YEAR($H$6),MONTH($H$6),1),2)-WEEKDAY(EDATE(DATE(YEAR($H$6),MONTH($H$6),1),2),3))+16</f>
        <v>46372</v>
      </c>
      <c r="P23" s="148">
        <f ca="1">(EDATE(DATE(YEAR($H$6),MONTH($H$6),1),2)-WEEKDAY(EDATE(DATE(YEAR($H$6),MONTH($H$6),1),2),3))+17</f>
        <v>46373</v>
      </c>
      <c r="Q23" s="148">
        <f ca="1">(EDATE(DATE(YEAR($H$6),MONTH($H$6),1),2)-WEEKDAY(EDATE(DATE(YEAR($H$6),MONTH($H$6),1),2),3))+18</f>
        <v>46374</v>
      </c>
      <c r="R23" s="148">
        <f ca="1">(EDATE(DATE(YEAR($H$6),MONTH($H$6),1),2)-WEEKDAY(EDATE(DATE(YEAR($H$6),MONTH($H$6),1),2),3))+19</f>
        <v>46375</v>
      </c>
      <c r="S23" s="148">
        <f ca="1">(EDATE(DATE(YEAR($H$6),MONTH($H$6),1),2)-WEEKDAY(EDATE(DATE(YEAR($H$6),MONTH($H$6),1),2),3))+20</f>
        <v>46376</v>
      </c>
      <c r="U23" s="148">
        <f ca="1">(EDATE(DATE(YEAR($H$6),MONTH($H$6),1),3)-WEEKDAY(EDATE(DATE(YEAR($H$6),MONTH($H$6),1),3),3))+14</f>
        <v>46398</v>
      </c>
      <c r="V23" s="148">
        <f ca="1">(EDATE(DATE(YEAR($H$6),MONTH($H$6),1),3)-WEEKDAY(EDATE(DATE(YEAR($H$6),MONTH($H$6),1),3),3))+15</f>
        <v>46399</v>
      </c>
      <c r="W23" s="148">
        <f ca="1">(EDATE(DATE(YEAR($H$6),MONTH($H$6),1),3)-WEEKDAY(EDATE(DATE(YEAR($H$6),MONTH($H$6),1),3),3))+16</f>
        <v>46400</v>
      </c>
      <c r="X23" s="148">
        <f ca="1">(EDATE(DATE(YEAR($H$6),MONTH($H$6),1),3)-WEEKDAY(EDATE(DATE(YEAR($H$6),MONTH($H$6),1),3),3))+17</f>
        <v>46401</v>
      </c>
      <c r="Y23" s="148">
        <f ca="1">(EDATE(DATE(YEAR($H$6),MONTH($H$6),1),3)-WEEKDAY(EDATE(DATE(YEAR($H$6),MONTH($H$6),1),3),3))+18</f>
        <v>46402</v>
      </c>
      <c r="Z23" s="148">
        <f ca="1">(EDATE(DATE(YEAR($H$6),MONTH($H$6),1),3)-WEEKDAY(EDATE(DATE(YEAR($H$6),MONTH($H$6),1),3),3))+19</f>
        <v>46403</v>
      </c>
      <c r="AA23" s="148">
        <f ca="1">(EDATE(DATE(YEAR($H$6),MONTH($H$6),1),3)-WEEKDAY(EDATE(DATE(YEAR($H$6),MONTH($H$6),1),3),3))+20</f>
        <v>46404</v>
      </c>
    </row>
    <row r="24" spans="1:33" ht="18" customHeight="1" x14ac:dyDescent="0.25">
      <c r="M24" s="148">
        <f ca="1">(EDATE(DATE(YEAR($H$6),MONTH($H$6),1),2)-WEEKDAY(EDATE(DATE(YEAR($H$6),MONTH($H$6),1),2),3))+21</f>
        <v>46377</v>
      </c>
      <c r="N24" s="148">
        <f ca="1">(EDATE(DATE(YEAR($H$6),MONTH($H$6),1),2)-WEEKDAY(EDATE(DATE(YEAR($H$6),MONTH($H$6),1),2),3))+22</f>
        <v>46378</v>
      </c>
      <c r="O24" s="148">
        <f ca="1">(EDATE(DATE(YEAR($H$6),MONTH($H$6),1),2)-WEEKDAY(EDATE(DATE(YEAR($H$6),MONTH($H$6),1),2),3))+23</f>
        <v>46379</v>
      </c>
      <c r="P24" s="148">
        <f ca="1">(EDATE(DATE(YEAR($H$6),MONTH($H$6),1),2)-WEEKDAY(EDATE(DATE(YEAR($H$6),MONTH($H$6),1),2),3))+24</f>
        <v>46380</v>
      </c>
      <c r="Q24" s="148">
        <f ca="1">(EDATE(DATE(YEAR($H$6),MONTH($H$6),1),2)-WEEKDAY(EDATE(DATE(YEAR($H$6),MONTH($H$6),1),2),3))+25</f>
        <v>46381</v>
      </c>
      <c r="R24" s="148">
        <f ca="1">(EDATE(DATE(YEAR($H$6),MONTH($H$6),1),2)-WEEKDAY(EDATE(DATE(YEAR($H$6),MONTH($H$6),1),2),3))+26</f>
        <v>46382</v>
      </c>
      <c r="S24" s="148">
        <f ca="1">(EDATE(DATE(YEAR($H$6),MONTH($H$6),1),2)-WEEKDAY(EDATE(DATE(YEAR($H$6),MONTH($H$6),1),2),3))+27</f>
        <v>46383</v>
      </c>
      <c r="U24" s="148">
        <f ca="1">(EDATE(DATE(YEAR($H$6),MONTH($H$6),1),3)-WEEKDAY(EDATE(DATE(YEAR($H$6),MONTH($H$6),1),3),3))+21</f>
        <v>46405</v>
      </c>
      <c r="V24" s="148">
        <f ca="1">(EDATE(DATE(YEAR($H$6),MONTH($H$6),1),3)-WEEKDAY(EDATE(DATE(YEAR($H$6),MONTH($H$6),1),3),3))+22</f>
        <v>46406</v>
      </c>
      <c r="W24" s="148">
        <f ca="1">(EDATE(DATE(YEAR($H$6),MONTH($H$6),1),3)-WEEKDAY(EDATE(DATE(YEAR($H$6),MONTH($H$6),1),3),3))+23</f>
        <v>46407</v>
      </c>
      <c r="X24" s="148">
        <f ca="1">(EDATE(DATE(YEAR($H$6),MONTH($H$6),1),3)-WEEKDAY(EDATE(DATE(YEAR($H$6),MONTH($H$6),1),3),3))+24</f>
        <v>46408</v>
      </c>
      <c r="Y24" s="148">
        <f ca="1">(EDATE(DATE(YEAR($H$6),MONTH($H$6),1),3)-WEEKDAY(EDATE(DATE(YEAR($H$6),MONTH($H$6),1),3),3))+25</f>
        <v>46409</v>
      </c>
      <c r="Z24" s="148">
        <f ca="1">(EDATE(DATE(YEAR($H$6),MONTH($H$6),1),3)-WEEKDAY(EDATE(DATE(YEAR($H$6),MONTH($H$6),1),3),3))+26</f>
        <v>46410</v>
      </c>
      <c r="AA24" s="148">
        <f ca="1">(EDATE(DATE(YEAR($H$6),MONTH($H$6),1),3)-WEEKDAY(EDATE(DATE(YEAR($H$6),MONTH($H$6),1),3),3))+27</f>
        <v>46411</v>
      </c>
    </row>
    <row r="25" spans="1:33" ht="24" customHeight="1" x14ac:dyDescent="0.25">
      <c r="A25" s="287" t="s">
        <v>272</v>
      </c>
      <c r="B25" s="269"/>
      <c r="C25" s="269"/>
      <c r="D25" s="269"/>
      <c r="E25" s="269"/>
      <c r="F25" s="269"/>
      <c r="G25" s="269"/>
      <c r="H25" s="269"/>
      <c r="I25" s="269"/>
      <c r="J25" s="269"/>
      <c r="K25" s="269"/>
      <c r="M25" s="148">
        <f ca="1">(EDATE(DATE(YEAR($H$6),MONTH($H$6),1),2)-WEEKDAY(EDATE(DATE(YEAR($H$6),MONTH($H$6),1),2),3))+28</f>
        <v>46384</v>
      </c>
      <c r="N25" s="148">
        <f ca="1">(EDATE(DATE(YEAR($H$6),MONTH($H$6),1),2)-WEEKDAY(EDATE(DATE(YEAR($H$6),MONTH($H$6),1),2),3))+29</f>
        <v>46385</v>
      </c>
      <c r="O25" s="148">
        <f ca="1">(EDATE(DATE(YEAR($H$6),MONTH($H$6),1),2)-WEEKDAY(EDATE(DATE(YEAR($H$6),MONTH($H$6),1),2),3))+30</f>
        <v>46386</v>
      </c>
      <c r="P25" s="148">
        <f ca="1">(EDATE(DATE(YEAR($H$6),MONTH($H$6),1),2)-WEEKDAY(EDATE(DATE(YEAR($H$6),MONTH($H$6),1),2),3))+31</f>
        <v>46387</v>
      </c>
      <c r="Q25" s="148">
        <f ca="1">(EDATE(DATE(YEAR($H$6),MONTH($H$6),1),2)-WEEKDAY(EDATE(DATE(YEAR($H$6),MONTH($H$6),1),2),3))+32</f>
        <v>46388</v>
      </c>
      <c r="R25" s="148">
        <f ca="1">(EDATE(DATE(YEAR($H$6),MONTH($H$6),1),2)-WEEKDAY(EDATE(DATE(YEAR($H$6),MONTH($H$6),1),2),3))+33</f>
        <v>46389</v>
      </c>
      <c r="S25" s="148">
        <f ca="1">(EDATE(DATE(YEAR($H$6),MONTH($H$6),1),2)-WEEKDAY(EDATE(DATE(YEAR($H$6),MONTH($H$6),1),2),3))+34</f>
        <v>46390</v>
      </c>
      <c r="U25" s="148">
        <f ca="1">(EDATE(DATE(YEAR($H$6),MONTH($H$6),1),3)-WEEKDAY(EDATE(DATE(YEAR($H$6),MONTH($H$6),1),3),3))+28</f>
        <v>46412</v>
      </c>
      <c r="V25" s="148">
        <f ca="1">(EDATE(DATE(YEAR($H$6),MONTH($H$6),1),3)-WEEKDAY(EDATE(DATE(YEAR($H$6),MONTH($H$6),1),3),3))+29</f>
        <v>46413</v>
      </c>
      <c r="W25" s="148">
        <f ca="1">(EDATE(DATE(YEAR($H$6),MONTH($H$6),1),3)-WEEKDAY(EDATE(DATE(YEAR($H$6),MONTH($H$6),1),3),3))+30</f>
        <v>46414</v>
      </c>
      <c r="X25" s="148">
        <f ca="1">(EDATE(DATE(YEAR($H$6),MONTH($H$6),1),3)-WEEKDAY(EDATE(DATE(YEAR($H$6),MONTH($H$6),1),3),3))+31</f>
        <v>46415</v>
      </c>
      <c r="Y25" s="148">
        <f ca="1">(EDATE(DATE(YEAR($H$6),MONTH($H$6),1),3)-WEEKDAY(EDATE(DATE(YEAR($H$6),MONTH($H$6),1),3),3))+32</f>
        <v>46416</v>
      </c>
      <c r="Z25" s="148">
        <f ca="1">(EDATE(DATE(YEAR($H$6),MONTH($H$6),1),3)-WEEKDAY(EDATE(DATE(YEAR($H$6),MONTH($H$6),1),3),3))+33</f>
        <v>46417</v>
      </c>
      <c r="AA25" s="148">
        <f ca="1">(EDATE(DATE(YEAR($H$6),MONTH($H$6),1),3)-WEEKDAY(EDATE(DATE(YEAR($H$6),MONTH($H$6),1),3),3))+34</f>
        <v>46418</v>
      </c>
    </row>
    <row r="26" spans="1:33" ht="21.95" customHeight="1" x14ac:dyDescent="0.25">
      <c r="B26" s="288" t="s">
        <v>273</v>
      </c>
      <c r="C26" s="289"/>
      <c r="D26" s="288" t="s">
        <v>274</v>
      </c>
      <c r="E26" s="289"/>
      <c r="F26" s="288" t="s">
        <v>275</v>
      </c>
      <c r="G26" s="289"/>
      <c r="M26" s="148">
        <f ca="1">(EDATE(DATE(YEAR($H$6),MONTH($H$6),1),2)-WEEKDAY(EDATE(DATE(YEAR($H$6),MONTH($H$6),1),2),3))+35</f>
        <v>46391</v>
      </c>
      <c r="N26" s="148">
        <f ca="1">(EDATE(DATE(YEAR($H$6),MONTH($H$6),1),2)-WEEKDAY(EDATE(DATE(YEAR($H$6),MONTH($H$6),1),2),3))+36</f>
        <v>46392</v>
      </c>
      <c r="O26" s="148">
        <f ca="1">(EDATE(DATE(YEAR($H$6),MONTH($H$6),1),2)-WEEKDAY(EDATE(DATE(YEAR($H$6),MONTH($H$6),1),2),3))+37</f>
        <v>46393</v>
      </c>
      <c r="P26" s="148">
        <f ca="1">(EDATE(DATE(YEAR($H$6),MONTH($H$6),1),2)-WEEKDAY(EDATE(DATE(YEAR($H$6),MONTH($H$6),1),2),3))+38</f>
        <v>46394</v>
      </c>
      <c r="Q26" s="148">
        <f ca="1">(EDATE(DATE(YEAR($H$6),MONTH($H$6),1),2)-WEEKDAY(EDATE(DATE(YEAR($H$6),MONTH($H$6),1),2),3))+39</f>
        <v>46395</v>
      </c>
      <c r="R26" s="148">
        <f ca="1">(EDATE(DATE(YEAR($H$6),MONTH($H$6),1),2)-WEEKDAY(EDATE(DATE(YEAR($H$6),MONTH($H$6),1),2),3))+40</f>
        <v>46396</v>
      </c>
      <c r="S26" s="148">
        <f ca="1">(EDATE(DATE(YEAR($H$6),MONTH($H$6),1),2)-WEEKDAY(EDATE(DATE(YEAR($H$6),MONTH($H$6),1),2),3))+41</f>
        <v>46397</v>
      </c>
      <c r="U26" s="148">
        <f ca="1">(EDATE(DATE(YEAR($H$6),MONTH($H$6),1),3)-WEEKDAY(EDATE(DATE(YEAR($H$6),MONTH($H$6),1),3),3))+35</f>
        <v>46419</v>
      </c>
      <c r="V26" s="148">
        <f ca="1">(EDATE(DATE(YEAR($H$6),MONTH($H$6),1),3)-WEEKDAY(EDATE(DATE(YEAR($H$6),MONTH($H$6),1),3),3))+36</f>
        <v>46420</v>
      </c>
      <c r="W26" s="148">
        <f ca="1">(EDATE(DATE(YEAR($H$6),MONTH($H$6),1),3)-WEEKDAY(EDATE(DATE(YEAR($H$6),MONTH($H$6),1),3),3))+37</f>
        <v>46421</v>
      </c>
      <c r="X26" s="148">
        <f ca="1">(EDATE(DATE(YEAR($H$6),MONTH($H$6),1),3)-WEEKDAY(EDATE(DATE(YEAR($H$6),MONTH($H$6),1),3),3))+38</f>
        <v>46422</v>
      </c>
      <c r="Y26" s="148">
        <f ca="1">(EDATE(DATE(YEAR($H$6),MONTH($H$6),1),3)-WEEKDAY(EDATE(DATE(YEAR($H$6),MONTH($H$6),1),3),3))+39</f>
        <v>46423</v>
      </c>
      <c r="Z26" s="148">
        <f ca="1">(EDATE(DATE(YEAR($H$6),MONTH($H$6),1),3)-WEEKDAY(EDATE(DATE(YEAR($H$6),MONTH($H$6),1),3),3))+40</f>
        <v>46424</v>
      </c>
      <c r="AA26" s="148">
        <f ca="1">(EDATE(DATE(YEAR($H$6),MONTH($H$6),1),3)-WEEKDAY(EDATE(DATE(YEAR($H$6),MONTH($H$6),1),3),3))+41</f>
        <v>46425</v>
      </c>
    </row>
    <row r="27" spans="1:33" ht="18" customHeight="1" x14ac:dyDescent="0.25">
      <c r="B27" s="149" t="s">
        <v>276</v>
      </c>
      <c r="C27" s="146" t="s">
        <v>277</v>
      </c>
      <c r="D27" s="150" t="s">
        <v>278</v>
      </c>
      <c r="E27" s="146" t="s">
        <v>279</v>
      </c>
      <c r="F27" s="151" t="s">
        <v>280</v>
      </c>
      <c r="G27" s="146" t="s">
        <v>281</v>
      </c>
      <c r="M27" s="293" t="s">
        <v>282</v>
      </c>
      <c r="N27" s="273"/>
      <c r="O27" s="273"/>
      <c r="P27" s="273"/>
      <c r="Q27" s="273"/>
      <c r="R27" s="273"/>
      <c r="S27" s="273"/>
      <c r="T27" s="273"/>
      <c r="U27" s="273"/>
      <c r="V27" s="273"/>
      <c r="W27" s="273"/>
      <c r="X27" s="273"/>
      <c r="Y27" s="273"/>
      <c r="Z27" s="273"/>
      <c r="AA27" s="273"/>
    </row>
    <row r="28" spans="1:33" ht="18" customHeight="1" x14ac:dyDescent="0.25">
      <c r="B28" s="152" t="s">
        <v>283</v>
      </c>
      <c r="C28" s="146" t="s">
        <v>284</v>
      </c>
      <c r="D28" s="153" t="s">
        <v>285</v>
      </c>
      <c r="E28" s="146" t="s">
        <v>286</v>
      </c>
      <c r="F28" s="151" t="s">
        <v>287</v>
      </c>
      <c r="G28" s="146" t="s">
        <v>288</v>
      </c>
      <c r="M28" s="273"/>
      <c r="N28" s="273"/>
      <c r="O28" s="273"/>
      <c r="P28" s="273"/>
      <c r="Q28" s="273"/>
      <c r="R28" s="273"/>
      <c r="S28" s="273"/>
      <c r="T28" s="273"/>
      <c r="U28" s="273"/>
      <c r="V28" s="273"/>
      <c r="W28" s="273"/>
      <c r="X28" s="273"/>
      <c r="Y28" s="273"/>
      <c r="Z28" s="273"/>
      <c r="AA28" s="273"/>
    </row>
    <row r="29" spans="1:33" ht="18" customHeight="1" x14ac:dyDescent="0.25">
      <c r="B29" s="154" t="s">
        <v>289</v>
      </c>
      <c r="C29" s="146" t="s">
        <v>290</v>
      </c>
      <c r="D29" s="155" t="s">
        <v>291</v>
      </c>
      <c r="E29" s="146" t="s">
        <v>292</v>
      </c>
      <c r="F29" s="156" t="s">
        <v>246</v>
      </c>
      <c r="G29" s="146" t="s">
        <v>293</v>
      </c>
      <c r="M29" s="179"/>
      <c r="N29" s="179"/>
      <c r="O29" s="179"/>
      <c r="P29" s="179"/>
      <c r="Q29" s="179"/>
      <c r="R29" s="179"/>
      <c r="S29" s="179"/>
      <c r="T29" s="179"/>
      <c r="U29" s="179"/>
      <c r="V29" s="179"/>
      <c r="W29" s="179"/>
      <c r="X29" s="179"/>
      <c r="Y29" s="179"/>
      <c r="Z29" s="179"/>
      <c r="AA29" s="179"/>
    </row>
    <row r="30" spans="1:33" ht="18" customHeight="1" x14ac:dyDescent="0.25">
      <c r="B30" s="157" t="s">
        <v>294</v>
      </c>
      <c r="C30" s="146" t="s">
        <v>295</v>
      </c>
      <c r="D30" s="158" t="s">
        <v>296</v>
      </c>
      <c r="E30" s="146" t="s">
        <v>297</v>
      </c>
      <c r="F30" s="150" t="s">
        <v>298</v>
      </c>
      <c r="G30" s="146" t="s">
        <v>299</v>
      </c>
    </row>
    <row r="31" spans="1:33" ht="18" customHeight="1" x14ac:dyDescent="0.25">
      <c r="B31" s="159" t="s">
        <v>300</v>
      </c>
      <c r="C31" s="146" t="s">
        <v>301</v>
      </c>
      <c r="D31" s="160" t="s">
        <v>302</v>
      </c>
      <c r="E31" s="146" t="s">
        <v>303</v>
      </c>
      <c r="F31" s="161" t="s">
        <v>298</v>
      </c>
      <c r="G31" s="146" t="s">
        <v>304</v>
      </c>
    </row>
    <row r="32" spans="1:33" ht="18" customHeight="1" x14ac:dyDescent="0.25">
      <c r="B32" s="162" t="s">
        <v>305</v>
      </c>
      <c r="C32" s="146" t="s">
        <v>306</v>
      </c>
      <c r="D32" s="163" t="s">
        <v>307</v>
      </c>
      <c r="E32" s="146" t="s">
        <v>308</v>
      </c>
      <c r="F32" s="164" t="s">
        <v>298</v>
      </c>
      <c r="G32" s="146" t="s">
        <v>309</v>
      </c>
    </row>
    <row r="33" spans="2:7" ht="18" customHeight="1" x14ac:dyDescent="0.25">
      <c r="B33" s="165" t="s">
        <v>310</v>
      </c>
      <c r="C33" s="146" t="s">
        <v>311</v>
      </c>
      <c r="D33" s="166" t="s">
        <v>312</v>
      </c>
      <c r="E33" s="146" t="s">
        <v>313</v>
      </c>
      <c r="F33" s="167" t="s">
        <v>298</v>
      </c>
      <c r="G33" s="146" t="s">
        <v>314</v>
      </c>
    </row>
    <row r="34" spans="2:7" ht="18" customHeight="1" x14ac:dyDescent="0.25">
      <c r="B34" s="168" t="s">
        <v>315</v>
      </c>
      <c r="C34" s="146" t="s">
        <v>316</v>
      </c>
    </row>
    <row r="35" spans="2:7" ht="18" customHeight="1" x14ac:dyDescent="0.25">
      <c r="B35" s="169" t="s">
        <v>317</v>
      </c>
      <c r="C35" s="146" t="s">
        <v>318</v>
      </c>
    </row>
    <row r="36" spans="2:7" ht="18" customHeight="1" x14ac:dyDescent="0.25">
      <c r="B36" s="170" t="s">
        <v>319</v>
      </c>
      <c r="C36" s="146" t="s">
        <v>320</v>
      </c>
    </row>
  </sheetData>
  <mergeCells count="30">
    <mergeCell ref="A4:K4"/>
    <mergeCell ref="A6:C6"/>
    <mergeCell ref="D5:E5"/>
    <mergeCell ref="M27:AA28"/>
    <mergeCell ref="H5:I5"/>
    <mergeCell ref="M9:AA9"/>
    <mergeCell ref="B26:C26"/>
    <mergeCell ref="A7:C7"/>
    <mergeCell ref="D26:E26"/>
    <mergeCell ref="A9:K9"/>
    <mergeCell ref="A5:C5"/>
    <mergeCell ref="J6:K6"/>
    <mergeCell ref="F5:G5"/>
    <mergeCell ref="A25:K25"/>
    <mergeCell ref="F26:G26"/>
    <mergeCell ref="D7:K7"/>
    <mergeCell ref="B10:C10"/>
    <mergeCell ref="B23:K23"/>
    <mergeCell ref="U19:AA19"/>
    <mergeCell ref="D6:E6"/>
    <mergeCell ref="U10:AA10"/>
    <mergeCell ref="M19:S19"/>
    <mergeCell ref="H6:I6"/>
    <mergeCell ref="M10:S10"/>
    <mergeCell ref="D10:E10"/>
    <mergeCell ref="J5:K5"/>
    <mergeCell ref="F10:G10"/>
    <mergeCell ref="H10:I10"/>
    <mergeCell ref="J10:K10"/>
    <mergeCell ref="F6:G6"/>
  </mergeCells>
  <conditionalFormatting sqref="B10">
    <cfRule type="expression" dxfId="253" priority="19" stopIfTrue="1">
      <formula>B10=TODAY()</formula>
    </cfRule>
  </conditionalFormatting>
  <conditionalFormatting sqref="B11:B22">
    <cfRule type="expression" dxfId="252" priority="1" stopIfTrue="1">
      <formula>B11="CB"</formula>
    </cfRule>
    <cfRule type="expression" dxfId="251" priority="2" stopIfTrue="1">
      <formula>B11="SPK"</formula>
    </cfRule>
    <cfRule type="expression" dxfId="250" priority="3" stopIfTrue="1">
      <formula>B11="GOV"</formula>
    </cfRule>
    <cfRule type="expression" dxfId="249" priority="4" stopIfTrue="1">
      <formula>B11="INF"</formula>
    </cfRule>
    <cfRule type="expression" dxfId="248" priority="5" stopIfTrue="1">
      <formula>B11="JOB"</formula>
    </cfRule>
    <cfRule type="expression" dxfId="247" priority="6" stopIfTrue="1">
      <formula>B11="BIZ"</formula>
    </cfRule>
    <cfRule type="expression" dxfId="246" priority="7" stopIfTrue="1">
      <formula>B11="HOL"</formula>
    </cfRule>
  </conditionalFormatting>
  <conditionalFormatting sqref="B11:C22">
    <cfRule type="expression" dxfId="245" priority="18" stopIfTrue="1">
      <formula>AND(B11="",B$10=TODAY())</formula>
    </cfRule>
  </conditionalFormatting>
  <conditionalFormatting sqref="D10">
    <cfRule type="expression" dxfId="244" priority="38" stopIfTrue="1">
      <formula>D10=TODAY()</formula>
    </cfRule>
  </conditionalFormatting>
  <conditionalFormatting sqref="D11:D22">
    <cfRule type="expression" dxfId="243" priority="20" stopIfTrue="1">
      <formula>D11="CB"</formula>
    </cfRule>
    <cfRule type="expression" dxfId="242" priority="21" stopIfTrue="1">
      <formula>D11="SPK"</formula>
    </cfRule>
    <cfRule type="expression" dxfId="241" priority="22" stopIfTrue="1">
      <formula>D11="GOV"</formula>
    </cfRule>
    <cfRule type="expression" dxfId="240" priority="23" stopIfTrue="1">
      <formula>D11="INF"</formula>
    </cfRule>
    <cfRule type="expression" dxfId="239" priority="24" stopIfTrue="1">
      <formula>D11="JOB"</formula>
    </cfRule>
    <cfRule type="expression" dxfId="238" priority="25" stopIfTrue="1">
      <formula>D11="BIZ"</formula>
    </cfRule>
    <cfRule type="expression" dxfId="237" priority="26" stopIfTrue="1">
      <formula>D11="HOL"</formula>
    </cfRule>
  </conditionalFormatting>
  <conditionalFormatting sqref="D11:E22">
    <cfRule type="expression" dxfId="236" priority="37" stopIfTrue="1">
      <formula>AND(D11="",D$10=TODAY())</formula>
    </cfRule>
  </conditionalFormatting>
  <conditionalFormatting sqref="F10">
    <cfRule type="expression" dxfId="235" priority="57" stopIfTrue="1">
      <formula>F10=TODAY()</formula>
    </cfRule>
  </conditionalFormatting>
  <conditionalFormatting sqref="F11:F22">
    <cfRule type="expression" dxfId="234" priority="39" stopIfTrue="1">
      <formula>F11="CB"</formula>
    </cfRule>
    <cfRule type="expression" dxfId="233" priority="40" stopIfTrue="1">
      <formula>F11="SPK"</formula>
    </cfRule>
    <cfRule type="expression" dxfId="232" priority="41" stopIfTrue="1">
      <formula>F11="GOV"</formula>
    </cfRule>
    <cfRule type="expression" dxfId="231" priority="42" stopIfTrue="1">
      <formula>F11="INF"</formula>
    </cfRule>
    <cfRule type="expression" dxfId="230" priority="43" stopIfTrue="1">
      <formula>F11="JOB"</formula>
    </cfRule>
    <cfRule type="expression" dxfId="229" priority="44" stopIfTrue="1">
      <formula>F11="BIZ"</formula>
    </cfRule>
    <cfRule type="expression" dxfId="228" priority="45" stopIfTrue="1">
      <formula>F11="HOL"</formula>
    </cfRule>
  </conditionalFormatting>
  <conditionalFormatting sqref="F11:G22">
    <cfRule type="expression" dxfId="227" priority="56" stopIfTrue="1">
      <formula>AND(F11="",F$10=TODAY())</formula>
    </cfRule>
  </conditionalFormatting>
  <conditionalFormatting sqref="H10">
    <cfRule type="expression" dxfId="226" priority="76" stopIfTrue="1">
      <formula>H10=TODAY()</formula>
    </cfRule>
  </conditionalFormatting>
  <conditionalFormatting sqref="H11:H22">
    <cfRule type="expression" dxfId="225" priority="58" stopIfTrue="1">
      <formula>H11="CB"</formula>
    </cfRule>
    <cfRule type="expression" dxfId="224" priority="60" stopIfTrue="1">
      <formula>H11="GOV"</formula>
    </cfRule>
    <cfRule type="expression" dxfId="223" priority="61" stopIfTrue="1">
      <formula>H11="INF"</formula>
    </cfRule>
    <cfRule type="expression" dxfId="222" priority="62" stopIfTrue="1">
      <formula>H11="JOB"</formula>
    </cfRule>
    <cfRule type="expression" dxfId="221" priority="63" stopIfTrue="1">
      <formula>H11="BIZ"</formula>
    </cfRule>
    <cfRule type="expression" dxfId="220" priority="64" stopIfTrue="1">
      <formula>H11="HOL"</formula>
    </cfRule>
    <cfRule type="expression" dxfId="219" priority="59" stopIfTrue="1">
      <formula>H11="SPK"</formula>
    </cfRule>
  </conditionalFormatting>
  <conditionalFormatting sqref="H11:I22">
    <cfRule type="expression" dxfId="218" priority="75" stopIfTrue="1">
      <formula>AND(H11="",H$10=TODAY())</formula>
    </cfRule>
  </conditionalFormatting>
  <conditionalFormatting sqref="J10">
    <cfRule type="expression" dxfId="217" priority="95" stopIfTrue="1">
      <formula>J10=TODAY()</formula>
    </cfRule>
  </conditionalFormatting>
  <conditionalFormatting sqref="J11:J22">
    <cfRule type="expression" dxfId="216" priority="77" stopIfTrue="1">
      <formula>J11="CB"</formula>
    </cfRule>
    <cfRule type="expression" dxfId="215" priority="78" stopIfTrue="1">
      <formula>J11="SPK"</formula>
    </cfRule>
    <cfRule type="expression" dxfId="214" priority="79" stopIfTrue="1">
      <formula>J11="GOV"</formula>
    </cfRule>
    <cfRule type="expression" dxfId="213" priority="80" stopIfTrue="1">
      <formula>J11="INF"</formula>
    </cfRule>
    <cfRule type="expression" dxfId="212" priority="81" stopIfTrue="1">
      <formula>J11="JOB"</formula>
    </cfRule>
    <cfRule type="expression" dxfId="211" priority="82" stopIfTrue="1">
      <formula>J11="BIZ"</formula>
    </cfRule>
    <cfRule type="expression" dxfId="210" priority="83" stopIfTrue="1">
      <formula>J11="HOL"</formula>
    </cfRule>
  </conditionalFormatting>
  <conditionalFormatting sqref="J11:K22">
    <cfRule type="expression" dxfId="209" priority="94" stopIfTrue="1">
      <formula>AND(J11="",J$10=TODAY())</formula>
    </cfRule>
  </conditionalFormatting>
  <conditionalFormatting sqref="M12:S17">
    <cfRule type="expression" dxfId="208" priority="96" stopIfTrue="1">
      <formula>MONTH(M12)&lt;&gt;MONTH(DATE(YEAR($H$6),MONTH($H$6),1))</formula>
    </cfRule>
    <cfRule type="expression" dxfId="207" priority="97" stopIfTrue="1">
      <formula>M12=TODAY()</formula>
    </cfRule>
    <cfRule type="expression" dxfId="206" priority="100" stopIfTrue="1">
      <formula>AND(M12&gt;=$H$6,M12&lt;=$H$6+4)</formula>
    </cfRule>
  </conditionalFormatting>
  <conditionalFormatting sqref="M21:S26">
    <cfRule type="expression" dxfId="205" priority="106" stopIfTrue="1">
      <formula>MONTH(M21)&lt;&gt;MONTH(EDATE(DATE(YEAR($H$6),MONTH($H$6),1),2))</formula>
    </cfRule>
    <cfRule type="expression" dxfId="204" priority="107" stopIfTrue="1">
      <formula>M21=TODAY()</formula>
    </cfRule>
    <cfRule type="expression" dxfId="203" priority="110" stopIfTrue="1">
      <formula>AND(M21&gt;=$H$6,M21&lt;=$H$6+4)</formula>
    </cfRule>
  </conditionalFormatting>
  <conditionalFormatting sqref="U12:AA17">
    <cfRule type="expression" dxfId="202" priority="101" stopIfTrue="1">
      <formula>MONTH(U12)&lt;&gt;MONTH(EDATE(DATE(YEAR($H$6),MONTH($H$6),1),1))</formula>
    </cfRule>
    <cfRule type="expression" dxfId="201" priority="102" stopIfTrue="1">
      <formula>U12=TODAY()</formula>
    </cfRule>
    <cfRule type="expression" dxfId="200" priority="105" stopIfTrue="1">
      <formula>AND(U12&gt;=$H$6,U12&lt;=$H$6+4)</formula>
    </cfRule>
  </conditionalFormatting>
  <conditionalFormatting sqref="U21:AA26">
    <cfRule type="expression" dxfId="199" priority="111" stopIfTrue="1">
      <formula>MONTH(U21)&lt;&gt;MONTH(EDATE(DATE(YEAR($H$6),MONTH($H$6),1),3))</formula>
    </cfRule>
    <cfRule type="expression" dxfId="198" priority="112" stopIfTrue="1">
      <formula>U21=TODAY()</formula>
    </cfRule>
    <cfRule type="expression" dxfId="197" priority="115" stopIfTrue="1">
      <formula>AND(U21&gt;=$H$6,U21&lt;=$H$6+4)</formula>
    </cfRule>
  </conditionalFormatting>
  <dataValidations count="2">
    <dataValidation type="list" sqref="D6" xr:uid="{00000000-0002-0000-0100-000000000000}">
      <formula1>"High only,High + Medium,All"</formula1>
    </dataValidation>
    <dataValidation type="whole" sqref="H5" xr:uid="{00000000-0002-0000-0100-000001000000}">
      <formula1>-10</formula1>
      <formula2>10</formula2>
    </dataValidation>
  </dataValidations>
  <hyperlinks>
    <hyperlink ref="AA1" location="'Guide'!A1" display="← Guide" xr:uid="{00000000-0004-0000-0100-000000000000}"/>
  </hyperlink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pageSetUpPr fitToPage="1"/>
  </sheetPr>
  <dimension ref="A1:S15"/>
  <sheetViews>
    <sheetView showGridLines="0" zoomScale="85" zoomScaleNormal="85" workbookViewId="0">
      <pane xSplit="1" ySplit="4" topLeftCell="B5" activePane="bottomRight" state="frozen"/>
      <selection pane="topRight" activeCell="B1" sqref="B1"/>
      <selection pane="bottomLeft" activeCell="A5" sqref="A5"/>
      <selection pane="bottomRight" activeCell="P20" sqref="P20"/>
    </sheetView>
  </sheetViews>
  <sheetFormatPr defaultColWidth="8.7109375" defaultRowHeight="15" x14ac:dyDescent="0.25"/>
  <cols>
    <col min="1" max="1" width="10" customWidth="1"/>
    <col min="2" max="2" width="7" customWidth="1"/>
    <col min="3" max="3" width="13" customWidth="1"/>
    <col min="4" max="4" width="9" customWidth="1"/>
    <col min="5" max="6" width="13" customWidth="1"/>
    <col min="7" max="7" width="11" customWidth="1"/>
    <col min="8" max="8" width="13" customWidth="1"/>
    <col min="9" max="9" width="10" customWidth="1"/>
    <col min="10" max="11" width="13" customWidth="1"/>
    <col min="12" max="12" width="16" customWidth="1"/>
    <col min="13" max="13" width="12" customWidth="1"/>
    <col min="14" max="15" width="13" customWidth="1"/>
    <col min="16" max="16" width="15" customWidth="1"/>
    <col min="17" max="17" width="44" customWidth="1"/>
    <col min="18" max="19" width="14" customWidth="1"/>
  </cols>
  <sheetData>
    <row r="1" spans="1:19" ht="33.950000000000003" customHeight="1" x14ac:dyDescent="0.25">
      <c r="A1" s="2" t="s">
        <v>321</v>
      </c>
      <c r="B1" s="44"/>
      <c r="C1" s="44"/>
      <c r="D1" s="44"/>
      <c r="E1" s="44"/>
      <c r="F1" s="44"/>
      <c r="G1" s="44"/>
      <c r="H1" s="44"/>
      <c r="I1" s="44"/>
      <c r="J1" s="44"/>
      <c r="K1" s="44"/>
      <c r="L1" s="44"/>
      <c r="M1" s="44"/>
      <c r="N1" s="44"/>
      <c r="O1" s="44"/>
      <c r="P1" s="44"/>
      <c r="Q1" s="45"/>
      <c r="R1" s="182"/>
      <c r="S1" s="183" t="s">
        <v>1</v>
      </c>
    </row>
    <row r="2" spans="1:19" ht="20.100000000000001" customHeight="1" x14ac:dyDescent="0.25">
      <c r="A2" s="4" t="s">
        <v>322</v>
      </c>
      <c r="B2" s="7"/>
      <c r="C2" s="7"/>
      <c r="D2" s="7"/>
      <c r="E2" s="7"/>
      <c r="F2" s="7"/>
      <c r="G2" s="7"/>
      <c r="H2" s="7"/>
      <c r="I2" s="7"/>
      <c r="J2" s="7"/>
      <c r="K2" s="7"/>
      <c r="L2" s="7"/>
      <c r="M2" s="7"/>
      <c r="N2" s="7"/>
      <c r="O2" s="7"/>
      <c r="P2" s="7"/>
      <c r="Q2" s="7"/>
    </row>
    <row r="3" spans="1:19" ht="8.1" customHeight="1" x14ac:dyDescent="0.25">
      <c r="A3" s="7"/>
      <c r="B3" s="7"/>
      <c r="C3" s="7"/>
      <c r="D3" s="7"/>
      <c r="E3" s="7"/>
      <c r="F3" s="7"/>
      <c r="G3" s="7"/>
      <c r="H3" s="7"/>
      <c r="I3" s="7"/>
      <c r="J3" s="7"/>
      <c r="K3" s="7"/>
      <c r="L3" s="7"/>
      <c r="M3" s="7"/>
      <c r="N3" s="7"/>
      <c r="O3" s="7"/>
      <c r="P3" s="7"/>
      <c r="Q3" s="7"/>
    </row>
    <row r="4" spans="1:19" ht="44.1" customHeight="1" x14ac:dyDescent="0.25">
      <c r="A4" s="46" t="s">
        <v>323</v>
      </c>
      <c r="B4" s="46" t="s">
        <v>324</v>
      </c>
      <c r="C4" s="46" t="s">
        <v>325</v>
      </c>
      <c r="D4" s="46" t="s">
        <v>326</v>
      </c>
      <c r="E4" s="46" t="s">
        <v>327</v>
      </c>
      <c r="F4" s="46" t="s">
        <v>328</v>
      </c>
      <c r="G4" s="46" t="s">
        <v>329</v>
      </c>
      <c r="H4" s="46" t="s">
        <v>330</v>
      </c>
      <c r="I4" s="46" t="s">
        <v>331</v>
      </c>
      <c r="J4" s="46" t="s">
        <v>332</v>
      </c>
      <c r="K4" s="46" t="s">
        <v>333</v>
      </c>
      <c r="L4" s="46" t="s">
        <v>334</v>
      </c>
      <c r="M4" s="46" t="s">
        <v>335</v>
      </c>
      <c r="N4" s="46" t="s">
        <v>336</v>
      </c>
      <c r="O4" s="46" t="s">
        <v>337</v>
      </c>
      <c r="P4" s="46" t="s">
        <v>338</v>
      </c>
      <c r="Q4" s="46" t="s">
        <v>339</v>
      </c>
      <c r="R4" s="184" t="s">
        <v>340</v>
      </c>
      <c r="S4" s="184" t="s">
        <v>341</v>
      </c>
    </row>
    <row r="5" spans="1:19" ht="31.15" customHeight="1" x14ac:dyDescent="0.25">
      <c r="A5" s="47" t="s">
        <v>342</v>
      </c>
      <c r="B5" s="48" t="s">
        <v>283</v>
      </c>
      <c r="C5" s="48" t="s">
        <v>276</v>
      </c>
      <c r="D5" s="49">
        <f>IFERROR(INDEX(Scorecard!$Q$5:$Q$12,MATCH(B5,Scorecard!$A$5:$A$12,0)),"")</f>
        <v>1</v>
      </c>
      <c r="E5" s="49">
        <f>IFERROR(INDEX(Scorecard!$Q$5:$Q$12,MATCH(C5,Scorecard!$A$5:$A$12,0)),"")</f>
        <v>2</v>
      </c>
      <c r="F5" s="50">
        <f>IF(OR(D5="",E5=""),"",D5-E5)</f>
        <v>-1</v>
      </c>
      <c r="G5" s="51">
        <f>IFERROR((INDEX(Scorecard!$K$5:$K$12,MATCH(B5,Scorecard!$A$5:$A$12,0))-INDEX(Scorecard!$K$5:$K$12,MATCH(C5,Scorecard!$A$5:$A$12,0)))*100,"")</f>
        <v>-170.00000000000003</v>
      </c>
      <c r="H5" s="51">
        <f>IFERROR((INDEX(Scorecard!$L$5:$L$12,MATCH(B5,Scorecard!$A$5:$A$12,0))-INDEX(Scorecard!$L$5:$L$12,MATCH(C5,Scorecard!$A$5:$A$12,0)))*100,"")</f>
        <v>-139.00000000000006</v>
      </c>
      <c r="I5" s="52">
        <f>IF(OR(G5="",H5=""),"",ROUND(G5-H5,1))</f>
        <v>-31</v>
      </c>
      <c r="J5" s="50" t="str">
        <f>IF(F5="","",IF(F5&gt;=Guide!$B$26,"LONG",IF(F5&lt;=-Guide!$B$26,"SHORT","FLAT")))</f>
        <v>FLAT</v>
      </c>
      <c r="K5" s="50" t="str">
        <f>IF(J5="LONG",IF(I5&gt;=Guide!$B$27,"YES","NO"),IF(J5="SHORT",IF(I5&lt;=-Guide!$B$27,"YES","NO"),"—"))</f>
        <v>—</v>
      </c>
      <c r="L5" s="50" t="str">
        <f>IF(AND('Risk &amp; Gold'!$B$8="RISK-OFF",OR(AND(C5="JPY",J5="LONG"),AND(B5="JPY",J5="SHORT"))),"YES: JPY haven","—")</f>
        <v>—</v>
      </c>
      <c r="M5" s="53" t="str">
        <f>IF(F5="","ENTER DATA",IF(L5&lt;&gt;"—","FLAT",IF(K5="YES",J5,"FLAT")))</f>
        <v>FLAT</v>
      </c>
      <c r="N5" s="54">
        <v>46284</v>
      </c>
      <c r="O5" s="55">
        <f>IF(N5="","",N5+Guide!$B$34)</f>
        <v>46291</v>
      </c>
      <c r="P5" s="53" t="str">
        <f ca="1">IF(N5="","NOT REVIEWED",IF(TODAY()&gt;O5,"EXPIRED","ACTIVE"))</f>
        <v>EXPIRED</v>
      </c>
      <c r="Q5" s="56" t="s">
        <v>343</v>
      </c>
      <c r="R5" s="185" t="str">
        <f>'Bias Builder'!C6</f>
        <v>SHORT</v>
      </c>
      <c r="S5" s="185" t="str">
        <f>IF('Bias Builder'!F6="","—",'Bias Builder'!F6)</f>
        <v>FLAT</v>
      </c>
    </row>
    <row r="6" spans="1:19" ht="18.600000000000001" customHeight="1" x14ac:dyDescent="0.25">
      <c r="A6" s="47" t="s">
        <v>344</v>
      </c>
      <c r="B6" s="48" t="s">
        <v>289</v>
      </c>
      <c r="C6" s="48" t="s">
        <v>276</v>
      </c>
      <c r="D6" s="49">
        <f>IFERROR(INDEX(Scorecard!$Q$5:$Q$12,MATCH(B6,Scorecard!$A$5:$A$12,0)),"")</f>
        <v>2</v>
      </c>
      <c r="E6" s="49">
        <f>IFERROR(INDEX(Scorecard!$Q$5:$Q$12,MATCH(C6,Scorecard!$A$5:$A$12,0)),"")</f>
        <v>2</v>
      </c>
      <c r="F6" s="50">
        <f>IF(OR(D6="",E6=""),"",D6-E6)</f>
        <v>0</v>
      </c>
      <c r="G6" s="51">
        <f>IFERROR((INDEX(Scorecard!$K$5:$K$12,MATCH(B6,Scorecard!$A$5:$A$12,0))-INDEX(Scorecard!$K$5:$K$12,MATCH(C6,Scorecard!$A$5:$A$12,0)))*100,"")</f>
        <v>9.9999999999999645</v>
      </c>
      <c r="H6" s="51">
        <f>IFERROR((INDEX(Scorecard!$L$5:$L$12,MATCH(B6,Scorecard!$A$5:$A$12,0))-INDEX(Scorecard!$L$5:$L$12,MATCH(C6,Scorecard!$A$5:$A$12,0)))*100,"")</f>
        <v>26.999999999999957</v>
      </c>
      <c r="I6" s="52">
        <f>IF(OR(G6="",H6=""),"",ROUND(G6-H6,1))</f>
        <v>-17</v>
      </c>
      <c r="J6" s="50" t="str">
        <f>IF(F6="","",IF(F6&gt;=Guide!$B$26,"LONG",IF(F6&lt;=-Guide!$B$26,"SHORT","FLAT")))</f>
        <v>FLAT</v>
      </c>
      <c r="K6" s="50" t="str">
        <f>IF(J6="LONG",IF(I6&gt;=Guide!$B$27,"YES","NO"),IF(J6="SHORT",IF(I6&lt;=-Guide!$B$27,"YES","NO"),"—"))</f>
        <v>—</v>
      </c>
      <c r="L6" s="50" t="str">
        <f>IF(AND('Risk &amp; Gold'!$B$8="RISK-OFF",OR(AND(C6="JPY",J6="LONG"),AND(B6="JPY",J6="SHORT"))),"YES: JPY haven","—")</f>
        <v>—</v>
      </c>
      <c r="M6" s="53" t="str">
        <f>IF(F6="","ENTER DATA",IF(L6&lt;&gt;"—","FLAT",IF(K6="YES",J6,"FLAT")))</f>
        <v>FLAT</v>
      </c>
      <c r="N6" s="54"/>
      <c r="O6" s="55" t="str">
        <f>IF(N6="","",N6+Guide!$B$34)</f>
        <v/>
      </c>
      <c r="P6" s="53" t="str">
        <f ca="1">IF(N6="","NOT REVIEWED",IF(TODAY()&gt;O6,"EXPIRED","ACTIVE"))</f>
        <v>NOT REVIEWED</v>
      </c>
      <c r="Q6" s="56"/>
      <c r="R6" s="185" t="str">
        <f>'Bias Builder'!C7</f>
        <v>FLAT</v>
      </c>
      <c r="S6" s="185" t="str">
        <f>IF('Bias Builder'!F7="","—",'Bias Builder'!F7)</f>
        <v>FLAT</v>
      </c>
    </row>
    <row r="7" spans="1:19" ht="18.600000000000001" customHeight="1" x14ac:dyDescent="0.25">
      <c r="A7" s="47" t="s">
        <v>345</v>
      </c>
      <c r="B7" s="48" t="s">
        <v>276</v>
      </c>
      <c r="C7" s="48" t="s">
        <v>294</v>
      </c>
      <c r="D7" s="49">
        <f>IFERROR(INDEX(Scorecard!$Q$5:$Q$12,MATCH(B7,Scorecard!$A$5:$A$12,0)),"")</f>
        <v>2</v>
      </c>
      <c r="E7" s="49">
        <f>IFERROR(INDEX(Scorecard!$Q$5:$Q$12,MATCH(C7,Scorecard!$A$5:$A$12,0)),"")</f>
        <v>1</v>
      </c>
      <c r="F7" s="50">
        <f>IF(OR(D7="",E7=""),"",D7-E7)</f>
        <v>1</v>
      </c>
      <c r="G7" s="51">
        <f>IFERROR((INDEX(Scorecard!$K$5:$K$12,MATCH(B7,Scorecard!$A$5:$A$12,0))-INDEX(Scorecard!$K$5:$K$12,MATCH(C7,Scorecard!$A$5:$A$12,0)))*100,"")</f>
        <v>285</v>
      </c>
      <c r="H7" s="51">
        <f>IFERROR((INDEX(Scorecard!$L$5:$L$12,MATCH(B7,Scorecard!$A$5:$A$12,0))-INDEX(Scorecard!$L$5:$L$12,MATCH(C7,Scorecard!$A$5:$A$12,0)))*100,"")</f>
        <v>281.00000000000006</v>
      </c>
      <c r="I7" s="52">
        <f>IF(OR(G7="",H7=""),"",ROUND(G7-H7,1))</f>
        <v>4</v>
      </c>
      <c r="J7" s="50" t="str">
        <f>IF(F7="","",IF(F7&gt;=Guide!$B$26,"LONG",IF(F7&lt;=-Guide!$B$26,"SHORT","FLAT")))</f>
        <v>FLAT</v>
      </c>
      <c r="K7" s="50" t="str">
        <f>IF(J7="LONG",IF(I7&gt;=Guide!$B$27,"YES","NO"),IF(J7="SHORT",IF(I7&lt;=-Guide!$B$27,"YES","NO"),"—"))</f>
        <v>—</v>
      </c>
      <c r="L7" s="50" t="str">
        <f>IF(AND('Risk &amp; Gold'!$B$8="RISK-OFF",OR(AND(C7="JPY",J7="LONG"),AND(B7="JPY",J7="SHORT"))),"YES: JPY haven","—")</f>
        <v>—</v>
      </c>
      <c r="M7" s="53" t="str">
        <f>IF(F7="","ENTER DATA",IF(L7&lt;&gt;"—","FLAT",IF(K7="YES",J7,"FLAT")))</f>
        <v>FLAT</v>
      </c>
      <c r="N7" s="54"/>
      <c r="O7" s="55" t="str">
        <f>IF(N7="","",N7+Guide!$B$34)</f>
        <v/>
      </c>
      <c r="P7" s="53" t="str">
        <f ca="1">IF(N7="","NOT REVIEWED",IF(TODAY()&gt;O7,"EXPIRED","ACTIVE"))</f>
        <v>NOT REVIEWED</v>
      </c>
      <c r="Q7" s="56"/>
      <c r="R7" s="185" t="str">
        <f>'Bias Builder'!C8</f>
        <v>LONG</v>
      </c>
      <c r="S7" s="185" t="str">
        <f>IF('Bias Builder'!F8="","—",'Bias Builder'!F8)</f>
        <v>LONG</v>
      </c>
    </row>
    <row r="8" spans="1:19" ht="43.9" customHeight="1" x14ac:dyDescent="0.25">
      <c r="A8" s="47" t="s">
        <v>53</v>
      </c>
      <c r="B8" s="48" t="s">
        <v>319</v>
      </c>
      <c r="C8" s="48" t="s">
        <v>276</v>
      </c>
      <c r="D8" s="57" t="s">
        <v>164</v>
      </c>
      <c r="E8" s="57" t="s">
        <v>164</v>
      </c>
      <c r="F8" s="49">
        <f>'Risk &amp; Gold'!E17</f>
        <v>-2</v>
      </c>
      <c r="G8" s="57" t="s">
        <v>164</v>
      </c>
      <c r="H8" s="57" t="s">
        <v>164</v>
      </c>
      <c r="I8" s="57" t="s">
        <v>164</v>
      </c>
      <c r="J8" s="49" t="str">
        <f>'Risk &amp; Gold'!B18</f>
        <v>SHORT</v>
      </c>
      <c r="K8" s="57" t="s">
        <v>164</v>
      </c>
      <c r="L8" s="57" t="s">
        <v>164</v>
      </c>
      <c r="M8" s="53" t="str">
        <f>'Risk &amp; Gold'!B18</f>
        <v>SHORT</v>
      </c>
      <c r="N8" s="54">
        <v>46284</v>
      </c>
      <c r="O8" s="55">
        <f>IF(N8="","",N8+Guide!$B$34)</f>
        <v>46291</v>
      </c>
      <c r="P8" s="53" t="str">
        <f ca="1">IF(N8="","NOT REVIEWED",IF(TODAY()&gt;O8,"EXPIRED","ACTIVE"))</f>
        <v>EXPIRED</v>
      </c>
      <c r="Q8" s="56" t="s">
        <v>346</v>
      </c>
      <c r="R8" s="185" t="str">
        <f>'Bias Builder'!C9</f>
        <v>SHORT</v>
      </c>
      <c r="S8" s="185" t="str">
        <f>IF('Bias Builder'!F9="","—",'Bias Builder'!F9)</f>
        <v>SHORT</v>
      </c>
    </row>
    <row r="9" spans="1:19" x14ac:dyDescent="0.25">
      <c r="A9" s="7"/>
      <c r="B9" s="7"/>
      <c r="C9" s="7"/>
      <c r="D9" s="7"/>
      <c r="E9" s="7"/>
      <c r="F9" s="7"/>
      <c r="G9" s="7"/>
      <c r="H9" s="7"/>
      <c r="I9" s="7"/>
      <c r="J9" s="7"/>
      <c r="K9" s="7"/>
      <c r="L9" s="7"/>
      <c r="M9" s="7"/>
      <c r="N9" s="7"/>
      <c r="O9" s="7"/>
      <c r="P9" s="7"/>
      <c r="Q9" s="7"/>
    </row>
    <row r="10" spans="1:19" ht="24" customHeight="1" thickBot="1" x14ac:dyDescent="0.3">
      <c r="A10" s="268" t="s">
        <v>347</v>
      </c>
      <c r="B10" s="269"/>
      <c r="C10" s="269"/>
      <c r="D10" s="269"/>
      <c r="E10" s="269"/>
      <c r="F10" s="269"/>
      <c r="G10" s="269"/>
      <c r="H10" s="269"/>
      <c r="I10" s="269"/>
      <c r="J10" s="269"/>
      <c r="K10" s="269"/>
    </row>
    <row r="11" spans="1:19" ht="18.600000000000001" customHeight="1" x14ac:dyDescent="0.25">
      <c r="A11" s="274" t="s">
        <v>348</v>
      </c>
      <c r="B11" s="273"/>
      <c r="C11" s="273"/>
      <c r="D11" s="273"/>
      <c r="E11" s="273"/>
      <c r="F11" s="273"/>
      <c r="G11" s="273"/>
      <c r="H11" s="273"/>
      <c r="I11" s="273"/>
      <c r="J11" s="273"/>
      <c r="K11" s="273"/>
      <c r="L11" s="273"/>
      <c r="M11" s="273"/>
      <c r="N11" s="273"/>
      <c r="O11" s="273"/>
      <c r="P11" s="273"/>
      <c r="Q11" s="273"/>
    </row>
    <row r="12" spans="1:19" ht="18.600000000000001" customHeight="1" x14ac:dyDescent="0.25">
      <c r="A12" s="274" t="s">
        <v>349</v>
      </c>
      <c r="B12" s="273"/>
      <c r="C12" s="273"/>
      <c r="D12" s="273"/>
      <c r="E12" s="273"/>
      <c r="F12" s="273"/>
      <c r="G12" s="273"/>
      <c r="H12" s="273"/>
      <c r="I12" s="273"/>
      <c r="J12" s="273"/>
      <c r="K12" s="273"/>
      <c r="L12" s="273"/>
      <c r="M12" s="273"/>
      <c r="N12" s="273"/>
      <c r="O12" s="273"/>
      <c r="P12" s="273"/>
      <c r="Q12" s="273"/>
    </row>
    <row r="13" spans="1:19" ht="18.600000000000001" customHeight="1" x14ac:dyDescent="0.25">
      <c r="A13" s="274" t="s">
        <v>350</v>
      </c>
      <c r="B13" s="273"/>
      <c r="C13" s="273"/>
      <c r="D13" s="273"/>
      <c r="E13" s="273"/>
      <c r="F13" s="273"/>
      <c r="G13" s="273"/>
      <c r="H13" s="273"/>
      <c r="I13" s="273"/>
      <c r="J13" s="273"/>
      <c r="K13" s="273"/>
      <c r="L13" s="273"/>
      <c r="M13" s="273"/>
      <c r="N13" s="273"/>
      <c r="O13" s="273"/>
      <c r="P13" s="273"/>
      <c r="Q13" s="273"/>
    </row>
    <row r="14" spans="1:19" ht="18.600000000000001" customHeight="1" x14ac:dyDescent="0.25">
      <c r="A14" s="274" t="s">
        <v>351</v>
      </c>
      <c r="B14" s="273"/>
      <c r="C14" s="273"/>
      <c r="D14" s="273"/>
      <c r="E14" s="273"/>
      <c r="F14" s="273"/>
      <c r="G14" s="273"/>
      <c r="H14" s="273"/>
      <c r="I14" s="273"/>
      <c r="J14" s="273"/>
      <c r="K14" s="273"/>
      <c r="L14" s="273"/>
      <c r="M14" s="273"/>
      <c r="N14" s="273"/>
      <c r="O14" s="273"/>
      <c r="P14" s="273"/>
      <c r="Q14" s="273"/>
    </row>
    <row r="15" spans="1:19" ht="18.600000000000001" customHeight="1" x14ac:dyDescent="0.25">
      <c r="A15" s="274" t="s">
        <v>352</v>
      </c>
      <c r="B15" s="273"/>
      <c r="C15" s="273"/>
      <c r="D15" s="273"/>
      <c r="E15" s="273"/>
      <c r="F15" s="273"/>
      <c r="G15" s="273"/>
      <c r="H15" s="273"/>
      <c r="I15" s="273"/>
      <c r="J15" s="273"/>
      <c r="K15" s="273"/>
      <c r="L15" s="273"/>
      <c r="M15" s="273"/>
      <c r="N15" s="273"/>
      <c r="O15" s="273"/>
      <c r="P15" s="273"/>
      <c r="Q15" s="273"/>
    </row>
  </sheetData>
  <mergeCells count="6">
    <mergeCell ref="A14:Q14"/>
    <mergeCell ref="A12:Q12"/>
    <mergeCell ref="A10:K10"/>
    <mergeCell ref="A15:Q15"/>
    <mergeCell ref="A11:Q11"/>
    <mergeCell ref="A13:Q13"/>
  </mergeCells>
  <conditionalFormatting sqref="B5:C8">
    <cfRule type="expression" dxfId="196" priority="14" stopIfTrue="1">
      <formula>B5="USD"</formula>
    </cfRule>
    <cfRule type="expression" dxfId="195" priority="14" stopIfTrue="1">
      <formula>B5="EUR"</formula>
    </cfRule>
    <cfRule type="expression" dxfId="194" priority="15" stopIfTrue="1">
      <formula>B5="GBP"</formula>
    </cfRule>
    <cfRule type="expression" dxfId="193" priority="16" stopIfTrue="1">
      <formula>B5="JPY"</formula>
    </cfRule>
    <cfRule type="expression" dxfId="192" priority="17" stopIfTrue="1">
      <formula>B5="AUD"</formula>
    </cfRule>
    <cfRule type="expression" dxfId="191" priority="18" stopIfTrue="1">
      <formula>B5="NZD"</formula>
    </cfRule>
    <cfRule type="expression" dxfId="190" priority="19" stopIfTrue="1">
      <formula>B5="CAD"</formula>
    </cfRule>
    <cfRule type="expression" dxfId="189" priority="20" stopIfTrue="1">
      <formula>B5="CHF"</formula>
    </cfRule>
    <cfRule type="expression" dxfId="188" priority="21" stopIfTrue="1">
      <formula>B5="CNY"</formula>
    </cfRule>
    <cfRule type="expression" dxfId="187" priority="22" stopIfTrue="1">
      <formula>B5="XAU"</formula>
    </cfRule>
  </conditionalFormatting>
  <conditionalFormatting sqref="J5:J8">
    <cfRule type="expression" dxfId="186" priority="2">
      <formula>ISNUMBER(SEARCH("LONG",J5))</formula>
    </cfRule>
    <cfRule type="expression" dxfId="185" priority="3">
      <formula>ISNUMBER(SEARCH("SHORT",J5))</formula>
    </cfRule>
    <cfRule type="expression" dxfId="184" priority="4">
      <formula>ISNUMBER(SEARCH("FLAT",J5))</formula>
    </cfRule>
    <cfRule type="expression" dxfId="183" priority="11" stopIfTrue="1">
      <formula>ISNUMBER(SEARCH("ENTER DATA",J5))</formula>
    </cfRule>
  </conditionalFormatting>
  <conditionalFormatting sqref="K5:K7">
    <cfRule type="expression" dxfId="182" priority="12">
      <formula>ISNUMBER(SEARCH("NO",K5))</formula>
    </cfRule>
  </conditionalFormatting>
  <conditionalFormatting sqref="M5:M8">
    <cfRule type="expression" dxfId="181" priority="5">
      <formula>ISNUMBER(SEARCH("LONG",M5))</formula>
    </cfRule>
    <cfRule type="expression" dxfId="180" priority="6">
      <formula>ISNUMBER(SEARCH("SHORT",M5))</formula>
    </cfRule>
    <cfRule type="expression" dxfId="179" priority="7">
      <formula>ISNUMBER(SEARCH("FLAT",M5))</formula>
    </cfRule>
    <cfRule type="expression" dxfId="178" priority="13" stopIfTrue="1">
      <formula>ISNUMBER(SEARCH("ENTER DATA",M5))</formula>
    </cfRule>
  </conditionalFormatting>
  <conditionalFormatting sqref="P5:P8">
    <cfRule type="expression" dxfId="177" priority="8">
      <formula>ISNUMBER(SEARCH("EXPIRED",P5))</formula>
    </cfRule>
    <cfRule type="expression" dxfId="176" priority="9">
      <formula>ISNUMBER(SEARCH("ACTIVE",P5))</formula>
    </cfRule>
    <cfRule type="expression" dxfId="175" priority="10">
      <formula>ISNUMBER(SEARCH("NOT REVIEWED",P5))</formula>
    </cfRule>
  </conditionalFormatting>
  <conditionalFormatting sqref="R5:S8">
    <cfRule type="expression" dxfId="174" priority="23" stopIfTrue="1">
      <formula>ISNUMBER(SEARCH("LONG",R5))</formula>
    </cfRule>
    <cfRule type="expression" dxfId="173" priority="24" stopIfTrue="1">
      <formula>ISNUMBER(SEARCH("SHORT",R5))</formula>
    </cfRule>
    <cfRule type="expression" dxfId="172" priority="25" stopIfTrue="1">
      <formula>ISNUMBER(SEARCH("FLAT",R5))</formula>
    </cfRule>
  </conditionalFormatting>
  <hyperlinks>
    <hyperlink ref="S1" location="'Guide'!A1" display="← Guide" xr:uid="{00000000-0004-0000-0200-000000000000}"/>
  </hyperlinks>
  <pageMargins left="0.75" right="0.75" top="1" bottom="1" header="0.511811023622047" footer="0.511811023622047"/>
  <pageSetup paperSize="9"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pageSetUpPr fitToPage="1"/>
  </sheetPr>
  <dimension ref="A1:J79"/>
  <sheetViews>
    <sheetView showGridLines="0" workbookViewId="0">
      <pane ySplit="2" topLeftCell="A3" activePane="bottomLeft" state="frozen"/>
      <selection pane="bottomLeft" activeCell="A12" sqref="A12:J12"/>
    </sheetView>
  </sheetViews>
  <sheetFormatPr defaultRowHeight="15" x14ac:dyDescent="0.25"/>
  <cols>
    <col min="1" max="1" width="30" customWidth="1"/>
    <col min="2" max="3" width="15" customWidth="1"/>
    <col min="4" max="4" width="40" customWidth="1"/>
    <col min="5" max="5" width="3" customWidth="1"/>
    <col min="6" max="6" width="26" customWidth="1"/>
    <col min="7" max="8" width="11" customWidth="1"/>
    <col min="9" max="9" width="12" customWidth="1"/>
    <col min="10" max="10" width="14" customWidth="1"/>
  </cols>
  <sheetData>
    <row r="1" spans="1:10" ht="33.950000000000003" customHeight="1" x14ac:dyDescent="0.25">
      <c r="A1" s="303" t="s">
        <v>353</v>
      </c>
      <c r="B1" s="273"/>
      <c r="C1" s="273"/>
      <c r="D1" s="273"/>
      <c r="E1" s="273"/>
      <c r="F1" s="273"/>
      <c r="G1" s="273"/>
      <c r="H1" s="182"/>
      <c r="I1" s="182"/>
      <c r="J1" s="186" t="s">
        <v>1</v>
      </c>
    </row>
    <row r="2" spans="1:10" ht="30" customHeight="1" x14ac:dyDescent="0.25">
      <c r="A2" s="304" t="s">
        <v>354</v>
      </c>
      <c r="B2" s="273"/>
      <c r="C2" s="273"/>
      <c r="D2" s="273"/>
      <c r="E2" s="273"/>
      <c r="F2" s="273"/>
      <c r="G2" s="273"/>
      <c r="H2" s="273"/>
      <c r="I2" s="273"/>
      <c r="J2" s="273"/>
    </row>
    <row r="3" spans="1:10" ht="8.1" customHeight="1" x14ac:dyDescent="0.25"/>
    <row r="4" spans="1:10" ht="26.1" customHeight="1" x14ac:dyDescent="0.25">
      <c r="A4" s="301" t="s">
        <v>355</v>
      </c>
      <c r="B4" s="269"/>
      <c r="C4" s="269"/>
      <c r="D4" s="269"/>
      <c r="E4" s="269"/>
      <c r="F4" s="269"/>
      <c r="G4" s="269"/>
      <c r="H4" s="269"/>
      <c r="I4" s="269"/>
      <c r="J4" s="269"/>
    </row>
    <row r="5" spans="1:10" ht="32.1" customHeight="1" x14ac:dyDescent="0.25">
      <c r="A5" s="184" t="s">
        <v>323</v>
      </c>
      <c r="B5" s="184" t="s">
        <v>356</v>
      </c>
      <c r="C5" s="184" t="s">
        <v>357</v>
      </c>
      <c r="D5" s="184" t="s">
        <v>358</v>
      </c>
      <c r="E5" s="184"/>
      <c r="F5" s="184" t="s">
        <v>341</v>
      </c>
      <c r="G5" s="184" t="s">
        <v>359</v>
      </c>
      <c r="H5" s="184" t="s">
        <v>360</v>
      </c>
      <c r="I5" s="300" t="s">
        <v>361</v>
      </c>
      <c r="J5" s="273"/>
    </row>
    <row r="6" spans="1:10" ht="99" customHeight="1" x14ac:dyDescent="0.25">
      <c r="A6" s="187" t="s">
        <v>342</v>
      </c>
      <c r="B6" s="185" t="str">
        <f>Bias!M5</f>
        <v>FLAT</v>
      </c>
      <c r="C6" s="188" t="s">
        <v>60</v>
      </c>
      <c r="D6" s="294" t="s">
        <v>362</v>
      </c>
      <c r="E6" s="280"/>
      <c r="F6" s="188" t="s">
        <v>54</v>
      </c>
      <c r="G6" s="190" t="s">
        <v>242</v>
      </c>
      <c r="H6" s="191" t="str">
        <f>IF(TRIM(F6)="","User: —",IF(AND(UPPER(TRIM(B6))=UPPER(TRIM(C6)),UPPER(TRIM(C6))=UPPER(TRIM(F6))),"ALL AGREE",IF(OR(UPPER(TRIM(B6))=UPPER(TRIM(C6)),UPPER(TRIM(C6))=UPPER(TRIM(F6)),UPPER(TRIM(B6))=UPPER(TRIM(F6))),"2 OF 3","SPLIT")))</f>
        <v>2 OF 3</v>
      </c>
      <c r="I6" s="295" t="str">
        <f ca="1">IFERROR(IF(MIN(IF(_xlfn.MINIFS(Events!$L$5:$L$304,Events!$C$5:$C$304,"EUR",Events!$D$5:$D$304,"High",Events!$L$5:$L$304,"&gt;="&amp;NOW())=0,9000000000,_xlfn.MINIFS(Events!$L$5:$L$304,Events!$C$5:$C$304,"EUR",Events!$D$5:$D$304,"High",Events!$L$5:$L$304,"&gt;="&amp;NOW())),IF(_xlfn.MINIFS(Events!$L$5:$L$304,Events!$C$5:$C$304,"USD",Events!$D$5:$D$304,"High",Events!$L$5:$L$304,"&gt;="&amp;NOW())=0,9000000000,_xlfn.MINIFS(Events!$L$5:$L$304,Events!$C$5:$C$304,"USD",Events!$D$5:$D$304,"High",Events!$L$5:$L$304,"&gt;="&amp;NOW())))&gt;900000000,"none scheduled",TEXT(MIN(IF(_xlfn.MINIFS(Events!$L$5:$L$304,Events!$C$5:$C$304,"EUR",Events!$D$5:$D$304,"High",Events!$L$5:$L$304,"&gt;="&amp;NOW())=0,9000000000,_xlfn.MINIFS(Events!$L$5:$L$304,Events!$C$5:$C$304,"EUR",Events!$D$5:$D$304,"High",Events!$L$5:$L$304,"&gt;="&amp;NOW())),IF(_xlfn.MINIFS(Events!$L$5:$L$304,Events!$C$5:$C$304,"USD",Events!$D$5:$D$304,"High",Events!$L$5:$L$304,"&gt;="&amp;NOW())=0,9000000000,_xlfn.MINIFS(Events!$L$5:$L$304,Events!$C$5:$C$304,"USD",Events!$D$5:$D$304,"High",Events!$L$5:$L$304,"&gt;="&amp;NOW()))),"ddd d mmm")&amp;"  "&amp;INDEX(Events!$C$5:$C$304,MATCH(MIN(IF(_xlfn.MINIFS(Events!$L$5:$L$304,Events!$C$5:$C$304,"EUR",Events!$D$5:$D$304,"High",Events!$L$5:$L$304,"&gt;="&amp;NOW())=0,9000000000,_xlfn.MINIFS(Events!$L$5:$L$304,Events!$C$5:$C$304,"EUR",Events!$D$5:$D$304,"High",Events!$L$5:$L$304,"&gt;="&amp;NOW())),IF(_xlfn.MINIFS(Events!$L$5:$L$304,Events!$C$5:$C$304,"USD",Events!$D$5:$D$304,"High",Events!$L$5:$L$304,"&gt;="&amp;NOW())=0,9000000000,_xlfn.MINIFS(Events!$L$5:$L$304,Events!$C$5:$C$304,"USD",Events!$D$5:$D$304,"High",Events!$L$5:$L$304,"&gt;="&amp;NOW()))),Events!$L$5:$L$304,0))&amp;"  "&amp;INDEX(Events!$F$5:$F$304,MATCH(MIN(IF(_xlfn.MINIFS(Events!$L$5:$L$304,Events!$C$5:$C$304,"EUR",Events!$D$5:$D$304,"High",Events!$L$5:$L$304,"&gt;="&amp;NOW())=0,9000000000,_xlfn.MINIFS(Events!$L$5:$L$304,Events!$C$5:$C$304,"EUR",Events!$D$5:$D$304,"High",Events!$L$5:$L$304,"&gt;="&amp;NOW())),IF(_xlfn.MINIFS(Events!$L$5:$L$304,Events!$C$5:$C$304,"USD",Events!$D$5:$D$304,"High",Events!$L$5:$L$304,"&gt;="&amp;NOW())=0,9000000000,_xlfn.MINIFS(Events!$L$5:$L$304,Events!$C$5:$C$304,"USD",Events!$D$5:$D$304,"High",Events!$L$5:$L$304,"&gt;="&amp;NOW()))),Events!$L$5:$L$304,0))),"none scheduled")</f>
        <v>Thu 15 Oct  USD  Core PPI m/m</v>
      </c>
      <c r="J6" s="280"/>
    </row>
    <row r="7" spans="1:10" ht="90" customHeight="1" x14ac:dyDescent="0.25">
      <c r="A7" s="187" t="s">
        <v>344</v>
      </c>
      <c r="B7" s="185" t="str">
        <f>Bias!M6</f>
        <v>FLAT</v>
      </c>
      <c r="C7" s="188" t="s">
        <v>54</v>
      </c>
      <c r="D7" s="294" t="s">
        <v>363</v>
      </c>
      <c r="E7" s="280"/>
      <c r="F7" s="188" t="s">
        <v>54</v>
      </c>
      <c r="G7" s="190" t="s">
        <v>364</v>
      </c>
      <c r="H7" s="191" t="str">
        <f>IF(TRIM(F7)="","User: —",IF(AND(UPPER(TRIM(B7))=UPPER(TRIM(C7)),UPPER(TRIM(C7))=UPPER(TRIM(F7))),"ALL AGREE",IF(OR(UPPER(TRIM(B7))=UPPER(TRIM(C7)),UPPER(TRIM(C7))=UPPER(TRIM(F7)),UPPER(TRIM(B7))=UPPER(TRIM(F7))),"2 OF 3","SPLIT")))</f>
        <v>ALL AGREE</v>
      </c>
      <c r="I7" s="295" t="str">
        <f ca="1">IFERROR(IF(MIN(IF(_xlfn.MINIFS(Events!$L$5:$L$304,Events!$C$5:$C$304,"GBP",Events!$D$5:$D$304,"High",Events!$L$5:$L$304,"&gt;="&amp;NOW())=0,9000000000,_xlfn.MINIFS(Events!$L$5:$L$304,Events!$C$5:$C$304,"GBP",Events!$D$5:$D$304,"High",Events!$L$5:$L$304,"&gt;="&amp;NOW())),IF(_xlfn.MINIFS(Events!$L$5:$L$304,Events!$C$5:$C$304,"USD",Events!$D$5:$D$304,"High",Events!$L$5:$L$304,"&gt;="&amp;NOW())=0,9000000000,_xlfn.MINIFS(Events!$L$5:$L$304,Events!$C$5:$C$304,"USD",Events!$D$5:$D$304,"High",Events!$L$5:$L$304,"&gt;="&amp;NOW())))&gt;900000000,"none scheduled",TEXT(MIN(IF(_xlfn.MINIFS(Events!$L$5:$L$304,Events!$C$5:$C$304,"GBP",Events!$D$5:$D$304,"High",Events!$L$5:$L$304,"&gt;="&amp;NOW())=0,9000000000,_xlfn.MINIFS(Events!$L$5:$L$304,Events!$C$5:$C$304,"GBP",Events!$D$5:$D$304,"High",Events!$L$5:$L$304,"&gt;="&amp;NOW())),IF(_xlfn.MINIFS(Events!$L$5:$L$304,Events!$C$5:$C$304,"USD",Events!$D$5:$D$304,"High",Events!$L$5:$L$304,"&gt;="&amp;NOW())=0,9000000000,_xlfn.MINIFS(Events!$L$5:$L$304,Events!$C$5:$C$304,"USD",Events!$D$5:$D$304,"High",Events!$L$5:$L$304,"&gt;="&amp;NOW()))),"ddd d mmm")&amp;"  "&amp;INDEX(Events!$C$5:$C$304,MATCH(MIN(IF(_xlfn.MINIFS(Events!$L$5:$L$304,Events!$C$5:$C$304,"GBP",Events!$D$5:$D$304,"High",Events!$L$5:$L$304,"&gt;="&amp;NOW())=0,9000000000,_xlfn.MINIFS(Events!$L$5:$L$304,Events!$C$5:$C$304,"GBP",Events!$D$5:$D$304,"High",Events!$L$5:$L$304,"&gt;="&amp;NOW())),IF(_xlfn.MINIFS(Events!$L$5:$L$304,Events!$C$5:$C$304,"USD",Events!$D$5:$D$304,"High",Events!$L$5:$L$304,"&gt;="&amp;NOW())=0,9000000000,_xlfn.MINIFS(Events!$L$5:$L$304,Events!$C$5:$C$304,"USD",Events!$D$5:$D$304,"High",Events!$L$5:$L$304,"&gt;="&amp;NOW()))),Events!$L$5:$L$304,0))&amp;"  "&amp;INDEX(Events!$F$5:$F$304,MATCH(MIN(IF(_xlfn.MINIFS(Events!$L$5:$L$304,Events!$C$5:$C$304,"GBP",Events!$D$5:$D$304,"High",Events!$L$5:$L$304,"&gt;="&amp;NOW())=0,9000000000,_xlfn.MINIFS(Events!$L$5:$L$304,Events!$C$5:$C$304,"GBP",Events!$D$5:$D$304,"High",Events!$L$5:$L$304,"&gt;="&amp;NOW())),IF(_xlfn.MINIFS(Events!$L$5:$L$304,Events!$C$5:$C$304,"USD",Events!$D$5:$D$304,"High",Events!$L$5:$L$304,"&gt;="&amp;NOW())=0,9000000000,_xlfn.MINIFS(Events!$L$5:$L$304,Events!$C$5:$C$304,"USD",Events!$D$5:$D$304,"High",Events!$L$5:$L$304,"&gt;="&amp;NOW()))),Events!$L$5:$L$304,0))),"none scheduled")</f>
        <v>Thu 15 Oct  USD  Core PPI m/m</v>
      </c>
      <c r="J7" s="280"/>
    </row>
    <row r="8" spans="1:10" ht="66" customHeight="1" x14ac:dyDescent="0.25">
      <c r="A8" s="187" t="s">
        <v>345</v>
      </c>
      <c r="B8" s="185" t="str">
        <f>Bias!M7</f>
        <v>FLAT</v>
      </c>
      <c r="C8" s="188" t="s">
        <v>177</v>
      </c>
      <c r="D8" s="294" t="s">
        <v>365</v>
      </c>
      <c r="E8" s="280"/>
      <c r="F8" s="188" t="s">
        <v>177</v>
      </c>
      <c r="G8" s="190" t="s">
        <v>364</v>
      </c>
      <c r="H8" s="191" t="str">
        <f>IF(TRIM(F8)="","User: —",IF(AND(UPPER(TRIM(B8))=UPPER(TRIM(C8)),UPPER(TRIM(C8))=UPPER(TRIM(F8))),"ALL AGREE",IF(OR(UPPER(TRIM(B8))=UPPER(TRIM(C8)),UPPER(TRIM(C8))=UPPER(TRIM(F8)),UPPER(TRIM(B8))=UPPER(TRIM(F8))),"2 OF 3","SPLIT")))</f>
        <v>2 OF 3</v>
      </c>
      <c r="I8" s="295" t="str">
        <f ca="1">IFERROR(IF(MIN(IF(_xlfn.MINIFS(Events!$L$5:$L$304,Events!$C$5:$C$304,"USD",Events!$D$5:$D$304,"High",Events!$L$5:$L$304,"&gt;="&amp;NOW())=0,9000000000,_xlfn.MINIFS(Events!$L$5:$L$304,Events!$C$5:$C$304,"USD",Events!$D$5:$D$304,"High",Events!$L$5:$L$304,"&gt;="&amp;NOW())),IF(_xlfn.MINIFS(Events!$L$5:$L$304,Events!$C$5:$C$304,"JPY",Events!$D$5:$D$304,"High",Events!$L$5:$L$304,"&gt;="&amp;NOW())=0,9000000000,_xlfn.MINIFS(Events!$L$5:$L$304,Events!$C$5:$C$304,"JPY",Events!$D$5:$D$304,"High",Events!$L$5:$L$304,"&gt;="&amp;NOW())))&gt;900000000,"none scheduled",TEXT(MIN(IF(_xlfn.MINIFS(Events!$L$5:$L$304,Events!$C$5:$C$304,"USD",Events!$D$5:$D$304,"High",Events!$L$5:$L$304,"&gt;="&amp;NOW())=0,9000000000,_xlfn.MINIFS(Events!$L$5:$L$304,Events!$C$5:$C$304,"USD",Events!$D$5:$D$304,"High",Events!$L$5:$L$304,"&gt;="&amp;NOW())),IF(_xlfn.MINIFS(Events!$L$5:$L$304,Events!$C$5:$C$304,"JPY",Events!$D$5:$D$304,"High",Events!$L$5:$L$304,"&gt;="&amp;NOW())=0,9000000000,_xlfn.MINIFS(Events!$L$5:$L$304,Events!$C$5:$C$304,"JPY",Events!$D$5:$D$304,"High",Events!$L$5:$L$304,"&gt;="&amp;NOW()))),"ddd d mmm")&amp;"  "&amp;INDEX(Events!$C$5:$C$304,MATCH(MIN(IF(_xlfn.MINIFS(Events!$L$5:$L$304,Events!$C$5:$C$304,"USD",Events!$D$5:$D$304,"High",Events!$L$5:$L$304,"&gt;="&amp;NOW())=0,9000000000,_xlfn.MINIFS(Events!$L$5:$L$304,Events!$C$5:$C$304,"USD",Events!$D$5:$D$304,"High",Events!$L$5:$L$304,"&gt;="&amp;NOW())),IF(_xlfn.MINIFS(Events!$L$5:$L$304,Events!$C$5:$C$304,"JPY",Events!$D$5:$D$304,"High",Events!$L$5:$L$304,"&gt;="&amp;NOW())=0,9000000000,_xlfn.MINIFS(Events!$L$5:$L$304,Events!$C$5:$C$304,"JPY",Events!$D$5:$D$304,"High",Events!$L$5:$L$304,"&gt;="&amp;NOW()))),Events!$L$5:$L$304,0))&amp;"  "&amp;INDEX(Events!$F$5:$F$304,MATCH(MIN(IF(_xlfn.MINIFS(Events!$L$5:$L$304,Events!$C$5:$C$304,"USD",Events!$D$5:$D$304,"High",Events!$L$5:$L$304,"&gt;="&amp;NOW())=0,9000000000,_xlfn.MINIFS(Events!$L$5:$L$304,Events!$C$5:$C$304,"USD",Events!$D$5:$D$304,"High",Events!$L$5:$L$304,"&gt;="&amp;NOW())),IF(_xlfn.MINIFS(Events!$L$5:$L$304,Events!$C$5:$C$304,"JPY",Events!$D$5:$D$304,"High",Events!$L$5:$L$304,"&gt;="&amp;NOW())=0,9000000000,_xlfn.MINIFS(Events!$L$5:$L$304,Events!$C$5:$C$304,"JPY",Events!$D$5:$D$304,"High",Events!$L$5:$L$304,"&gt;="&amp;NOW()))),Events!$L$5:$L$304,0))),"none scheduled")</f>
        <v>Thu 15 Oct  USD  Core PPI m/m</v>
      </c>
      <c r="J8" s="280"/>
    </row>
    <row r="9" spans="1:10" ht="65.25" customHeight="1" x14ac:dyDescent="0.25">
      <c r="A9" s="187" t="s">
        <v>53</v>
      </c>
      <c r="B9" s="185" t="str">
        <f>Bias!M8</f>
        <v>SHORT</v>
      </c>
      <c r="C9" s="188" t="s">
        <v>60</v>
      </c>
      <c r="D9" s="294" t="s">
        <v>366</v>
      </c>
      <c r="E9" s="280"/>
      <c r="F9" s="188" t="s">
        <v>60</v>
      </c>
      <c r="G9" s="190" t="s">
        <v>242</v>
      </c>
      <c r="H9" s="191" t="str">
        <f>IF(TRIM(F9)="","User: —",IF(AND(UPPER(TRIM(B9))=UPPER(TRIM(C9)),UPPER(TRIM(C9))=UPPER(TRIM(F9))),"ALL AGREE",IF(OR(UPPER(TRIM(B9))=UPPER(TRIM(C9)),UPPER(TRIM(C9))=UPPER(TRIM(F9)),UPPER(TRIM(B9))=UPPER(TRIM(F9))),"2 OF 3","SPLIT")))</f>
        <v>ALL AGREE</v>
      </c>
      <c r="I9" s="295" t="str">
        <f ca="1">IFERROR(IF(MIN(IF(_xlfn.MINIFS(Events!$L$5:$L$304,Events!$C$5:$C$304,"USD",Events!$D$5:$D$304,"High",Events!$L$5:$L$304,"&gt;="&amp;NOW())=0,9000000000,_xlfn.MINIFS(Events!$L$5:$L$304,Events!$C$5:$C$304,"USD",Events!$D$5:$D$304,"High",Events!$L$5:$L$304,"&gt;="&amp;NOW())))&gt;900000000,"none scheduled",TEXT(MIN(IF(_xlfn.MINIFS(Events!$L$5:$L$304,Events!$C$5:$C$304,"USD",Events!$D$5:$D$304,"High",Events!$L$5:$L$304,"&gt;="&amp;NOW())=0,9000000000,_xlfn.MINIFS(Events!$L$5:$L$304,Events!$C$5:$C$304,"USD",Events!$D$5:$D$304,"High",Events!$L$5:$L$304,"&gt;="&amp;NOW()))),"ddd d mmm")&amp;"  "&amp;INDEX(Events!$C$5:$C$304,MATCH(MIN(IF(_xlfn.MINIFS(Events!$L$5:$L$304,Events!$C$5:$C$304,"USD",Events!$D$5:$D$304,"High",Events!$L$5:$L$304,"&gt;="&amp;NOW())=0,9000000000,_xlfn.MINIFS(Events!$L$5:$L$304,Events!$C$5:$C$304,"USD",Events!$D$5:$D$304,"High",Events!$L$5:$L$304,"&gt;="&amp;NOW()))),Events!$L$5:$L$304,0))&amp;"  "&amp;INDEX(Events!$F$5:$F$304,MATCH(MIN(IF(_xlfn.MINIFS(Events!$L$5:$L$304,Events!$C$5:$C$304,"USD",Events!$D$5:$D$304,"High",Events!$L$5:$L$304,"&gt;="&amp;NOW())=0,9000000000,_xlfn.MINIFS(Events!$L$5:$L$304,Events!$C$5:$C$304,"USD",Events!$D$5:$D$304,"High",Events!$L$5:$L$304,"&gt;="&amp;NOW()))),Events!$L$5:$L$304,0))),"none scheduled")</f>
        <v>Thu 15 Oct  USD  Core PPI m/m</v>
      </c>
      <c r="J9" s="280"/>
    </row>
    <row r="10" spans="1:10" ht="24" customHeight="1" x14ac:dyDescent="0.25">
      <c r="A10" s="302" t="s">
        <v>367</v>
      </c>
      <c r="B10" s="273"/>
      <c r="C10" s="273"/>
      <c r="D10" s="273"/>
      <c r="E10" s="273"/>
      <c r="F10" s="273"/>
      <c r="G10" s="273"/>
      <c r="H10" s="273"/>
      <c r="I10" s="273"/>
      <c r="J10" s="273"/>
    </row>
    <row r="12" spans="1:10" ht="26.1" customHeight="1" x14ac:dyDescent="0.25">
      <c r="A12" s="301" t="s">
        <v>368</v>
      </c>
      <c r="B12" s="269"/>
      <c r="C12" s="269"/>
      <c r="D12" s="269"/>
      <c r="E12" s="269"/>
      <c r="F12" s="269"/>
      <c r="G12" s="269"/>
      <c r="H12" s="269"/>
      <c r="I12" s="269"/>
      <c r="J12" s="269"/>
    </row>
    <row r="14" spans="1:10" ht="27.95" customHeight="1" x14ac:dyDescent="0.25">
      <c r="A14" s="192" t="s">
        <v>369</v>
      </c>
      <c r="B14" s="193"/>
      <c r="C14" s="193"/>
      <c r="D14" s="193"/>
      <c r="E14" s="193"/>
      <c r="F14" s="193"/>
      <c r="G14" s="193"/>
      <c r="H14" s="193"/>
      <c r="I14" s="193"/>
      <c r="J14" s="193"/>
    </row>
    <row r="15" spans="1:10" ht="21.95" customHeight="1" x14ac:dyDescent="0.25">
      <c r="A15" s="300" t="s">
        <v>370</v>
      </c>
      <c r="B15" s="273"/>
      <c r="C15" s="273"/>
      <c r="D15" s="273"/>
      <c r="F15" s="184" t="s">
        <v>371</v>
      </c>
      <c r="G15" s="184" t="s">
        <v>372</v>
      </c>
      <c r="H15" s="184" t="s">
        <v>373</v>
      </c>
      <c r="I15" s="184" t="s">
        <v>374</v>
      </c>
      <c r="J15" s="184" t="s">
        <v>17</v>
      </c>
    </row>
    <row r="16" spans="1:10" ht="20.100000000000001" customHeight="1" x14ac:dyDescent="0.25">
      <c r="A16" s="194" t="s">
        <v>375</v>
      </c>
      <c r="B16" s="294" t="s">
        <v>376</v>
      </c>
      <c r="C16" s="285"/>
      <c r="D16" s="280"/>
      <c r="F16" s="195" t="s">
        <v>377</v>
      </c>
      <c r="G16" s="196">
        <f>Scorecard!C5</f>
        <v>4</v>
      </c>
      <c r="H16" s="197">
        <v>3.75</v>
      </c>
      <c r="I16" s="198">
        <f>IF(COUNT(G16,H16)&lt;2,"",ROUND((G16-H16)*100,0))</f>
        <v>25</v>
      </c>
      <c r="J16" s="185"/>
    </row>
    <row r="17" spans="1:10" ht="20.100000000000001" customHeight="1" x14ac:dyDescent="0.25">
      <c r="A17" s="194" t="s">
        <v>378</v>
      </c>
      <c r="B17" s="294" t="s">
        <v>379</v>
      </c>
      <c r="C17" s="285"/>
      <c r="D17" s="280"/>
      <c r="F17" s="195" t="s">
        <v>380</v>
      </c>
      <c r="G17" s="196">
        <f>Scorecard!E5</f>
        <v>2.57</v>
      </c>
      <c r="H17" s="196">
        <f>Scorecard!F5</f>
        <v>2.57</v>
      </c>
      <c r="I17" s="199">
        <f>IF(COUNT(G17,H17)&lt;2,"",G17-H17)</f>
        <v>0</v>
      </c>
      <c r="J17" s="185">
        <f>Scorecard!M5</f>
        <v>1</v>
      </c>
    </row>
    <row r="18" spans="1:10" ht="45" customHeight="1" x14ac:dyDescent="0.25">
      <c r="A18" s="194" t="s">
        <v>381</v>
      </c>
      <c r="B18" s="294" t="s">
        <v>382</v>
      </c>
      <c r="C18" s="285"/>
      <c r="D18" s="280"/>
      <c r="F18" s="195" t="s">
        <v>383</v>
      </c>
      <c r="G18" s="197">
        <v>3.72</v>
      </c>
      <c r="H18" s="197">
        <v>3.46</v>
      </c>
      <c r="I18" s="199">
        <f>IF(COUNT(G18,H18)&lt;2,"",G18-H18)</f>
        <v>0.26000000000000023</v>
      </c>
      <c r="J18" s="185"/>
    </row>
    <row r="19" spans="1:10" ht="32.1" customHeight="1" x14ac:dyDescent="0.25">
      <c r="A19" s="194" t="s">
        <v>384</v>
      </c>
      <c r="B19" s="296" t="str">
        <f ca="1">IF(Scorecard!D5="","not in Events list",TEXT(Scorecard!D5,"ddd d mmm yyyy")&amp;"  —  in "&amp;(Scorecard!D5-TODAY())&amp;" days")</f>
        <v>Wed 28 Oct 2026  —  in 13 days</v>
      </c>
      <c r="C19" s="285"/>
      <c r="D19" s="280"/>
      <c r="F19" s="195" t="s">
        <v>385</v>
      </c>
      <c r="G19" s="196">
        <f>Scorecard!H5</f>
        <v>4.2</v>
      </c>
      <c r="H19" s="196">
        <f>Scorecard!I5</f>
        <v>4.2</v>
      </c>
      <c r="I19" s="199">
        <f>IF(COUNT(G19,H19)&lt;2,"",G19-H19)</f>
        <v>0</v>
      </c>
      <c r="J19" s="185">
        <f>Scorecard!N5</f>
        <v>0</v>
      </c>
    </row>
    <row r="20" spans="1:10" ht="27" customHeight="1" x14ac:dyDescent="0.25">
      <c r="A20" s="194" t="s">
        <v>386</v>
      </c>
      <c r="B20" s="294" t="s">
        <v>387</v>
      </c>
      <c r="C20" s="285"/>
      <c r="D20" s="280"/>
      <c r="F20" s="195" t="s">
        <v>388</v>
      </c>
      <c r="G20" s="197">
        <v>3.02</v>
      </c>
      <c r="H20" s="197">
        <v>3.38</v>
      </c>
      <c r="I20" s="199">
        <f>IF(COUNT(G20,H20)&lt;2,"",G20-H20)</f>
        <v>-0.35999999999999988</v>
      </c>
      <c r="J20" s="185"/>
    </row>
    <row r="21" spans="1:10" ht="27" customHeight="1" x14ac:dyDescent="0.25">
      <c r="A21" s="194" t="s">
        <v>389</v>
      </c>
      <c r="B21" s="294" t="s">
        <v>390</v>
      </c>
      <c r="C21" s="285"/>
      <c r="D21" s="280"/>
      <c r="F21" s="195" t="s">
        <v>391</v>
      </c>
      <c r="G21" s="197">
        <v>0.4</v>
      </c>
      <c r="H21" s="197">
        <v>0.5</v>
      </c>
      <c r="I21" s="199">
        <f>IF(COUNT(G21,H21)&lt;2,"",G21-H21)</f>
        <v>-9.9999999999999978E-2</v>
      </c>
      <c r="J21" s="185"/>
    </row>
    <row r="22" spans="1:10" ht="57.75" customHeight="1" x14ac:dyDescent="0.25">
      <c r="A22" s="194" t="s">
        <v>392</v>
      </c>
      <c r="B22" s="294" t="s">
        <v>393</v>
      </c>
      <c r="C22" s="285"/>
      <c r="D22" s="280"/>
      <c r="F22" s="195" t="s">
        <v>394</v>
      </c>
      <c r="G22" s="200">
        <f>Scorecard!J5</f>
        <v>58.4</v>
      </c>
      <c r="H22" s="201"/>
      <c r="I22" s="202"/>
      <c r="J22" s="185">
        <f>Scorecard!O5</f>
        <v>1</v>
      </c>
    </row>
    <row r="23" spans="1:10" ht="39" customHeight="1" x14ac:dyDescent="0.25">
      <c r="A23" s="194" t="s">
        <v>395</v>
      </c>
      <c r="B23" s="294" t="s">
        <v>396</v>
      </c>
      <c r="C23" s="285"/>
      <c r="D23" s="280"/>
      <c r="F23" s="195" t="s">
        <v>397</v>
      </c>
      <c r="G23" s="196">
        <f>Scorecard!K5</f>
        <v>4.75</v>
      </c>
      <c r="H23" s="196">
        <f>Scorecard!L5</f>
        <v>4.6500000000000004</v>
      </c>
      <c r="I23" s="198">
        <f>IF(COUNT(G23,H23)&lt;2,"",ROUND((G23-H23)*100,0))</f>
        <v>10</v>
      </c>
      <c r="J23" s="185">
        <f>Scorecard!P5</f>
        <v>0</v>
      </c>
    </row>
    <row r="24" spans="1:10" ht="57.95" customHeight="1" x14ac:dyDescent="0.25">
      <c r="A24" s="194" t="s">
        <v>398</v>
      </c>
      <c r="B24" s="188" t="s">
        <v>399</v>
      </c>
      <c r="C24" s="190" t="s">
        <v>239</v>
      </c>
      <c r="D24" s="189" t="s">
        <v>400</v>
      </c>
      <c r="F24" s="195" t="s">
        <v>401</v>
      </c>
      <c r="G24" s="196">
        <f>IF(COUNT(Scorecard!K5,Scorecard!E5)&lt;2,"",Scorecard!K5-Scorecard!E5)</f>
        <v>2.1800000000000002</v>
      </c>
      <c r="H24" s="196">
        <f>IF(COUNT(Scorecard!L5,Scorecard!F5)&lt;2,"",Scorecard!L5-Scorecard!F5)</f>
        <v>2.0800000000000005</v>
      </c>
      <c r="I24" s="199">
        <f>IF(COUNT(G24,H24)&lt;2,"",G24-H24)</f>
        <v>9.9999999999999645E-2</v>
      </c>
      <c r="J24" s="185"/>
    </row>
    <row r="25" spans="1:10" ht="20.100000000000001" customHeight="1" x14ac:dyDescent="0.25">
      <c r="A25" s="194" t="s">
        <v>402</v>
      </c>
      <c r="B25" s="188"/>
      <c r="C25" s="294"/>
      <c r="D25" s="280"/>
      <c r="F25" s="194" t="s">
        <v>403</v>
      </c>
      <c r="G25" s="203">
        <f>Scorecard!Q5</f>
        <v>2</v>
      </c>
      <c r="H25" s="204"/>
      <c r="I25" s="202"/>
      <c r="J25" s="185" t="str">
        <f>Scorecard!R5</f>
        <v>HAWKISH</v>
      </c>
    </row>
    <row r="28" spans="1:10" ht="27.95" customHeight="1" x14ac:dyDescent="0.25">
      <c r="A28" s="205" t="s">
        <v>404</v>
      </c>
      <c r="B28" s="206"/>
      <c r="C28" s="206"/>
      <c r="D28" s="206"/>
      <c r="E28" s="206"/>
      <c r="F28" s="206"/>
      <c r="G28" s="206"/>
      <c r="H28" s="206"/>
      <c r="I28" s="206"/>
      <c r="J28" s="206"/>
    </row>
    <row r="29" spans="1:10" ht="21.95" customHeight="1" x14ac:dyDescent="0.25">
      <c r="A29" s="300" t="s">
        <v>370</v>
      </c>
      <c r="B29" s="273"/>
      <c r="C29" s="273"/>
      <c r="D29" s="273"/>
      <c r="F29" s="184" t="s">
        <v>371</v>
      </c>
      <c r="G29" s="184" t="s">
        <v>372</v>
      </c>
      <c r="H29" s="184" t="s">
        <v>373</v>
      </c>
      <c r="I29" s="184" t="s">
        <v>374</v>
      </c>
      <c r="J29" s="184" t="s">
        <v>17</v>
      </c>
    </row>
    <row r="30" spans="1:10" ht="20.100000000000001" customHeight="1" x14ac:dyDescent="0.25">
      <c r="A30" s="194" t="s">
        <v>375</v>
      </c>
      <c r="B30" s="294" t="s">
        <v>405</v>
      </c>
      <c r="C30" s="285"/>
      <c r="D30" s="280"/>
      <c r="F30" s="195" t="s">
        <v>377</v>
      </c>
      <c r="G30" s="196">
        <f>Scorecard!C6</f>
        <v>2.5</v>
      </c>
      <c r="H30" s="197">
        <v>2.25</v>
      </c>
      <c r="I30" s="198">
        <f>IF(COUNT(G30,H30)&lt;2,"",ROUND((G30-H30)*100,0))</f>
        <v>25</v>
      </c>
      <c r="J30" s="185"/>
    </row>
    <row r="31" spans="1:10" ht="20.100000000000001" customHeight="1" x14ac:dyDescent="0.25">
      <c r="A31" s="194" t="s">
        <v>378</v>
      </c>
      <c r="B31" s="294" t="s">
        <v>406</v>
      </c>
      <c r="C31" s="285"/>
      <c r="D31" s="280"/>
      <c r="F31" s="195" t="s">
        <v>380</v>
      </c>
      <c r="G31" s="196">
        <f>Scorecard!E6</f>
        <v>2.5</v>
      </c>
      <c r="H31" s="196">
        <f>Scorecard!F6</f>
        <v>2.4</v>
      </c>
      <c r="I31" s="199">
        <f>IF(COUNT(G31,H31)&lt;2,"",G31-H31)</f>
        <v>0.10000000000000009</v>
      </c>
      <c r="J31" s="185">
        <f>Scorecard!M6</f>
        <v>1</v>
      </c>
    </row>
    <row r="32" spans="1:10" ht="45" customHeight="1" x14ac:dyDescent="0.25">
      <c r="A32" s="194" t="s">
        <v>381</v>
      </c>
      <c r="B32" s="294" t="s">
        <v>407</v>
      </c>
      <c r="C32" s="285"/>
      <c r="D32" s="280"/>
      <c r="F32" s="195" t="s">
        <v>383</v>
      </c>
      <c r="G32" s="197">
        <v>3.8</v>
      </c>
      <c r="H32" s="197">
        <v>2.8</v>
      </c>
      <c r="I32" s="199">
        <f>IF(COUNT(G32,H32)&lt;2,"",G32-H32)</f>
        <v>1</v>
      </c>
      <c r="J32" s="185"/>
    </row>
    <row r="33" spans="1:10" ht="32.1" customHeight="1" x14ac:dyDescent="0.25">
      <c r="A33" s="194" t="s">
        <v>384</v>
      </c>
      <c r="B33" s="296" t="str">
        <f ca="1">IF(Scorecard!D6="","not in Events list",TEXT(Scorecard!D6,"ddd d mmm yyyy")&amp;"  —  in "&amp;(Scorecard!D6-TODAY())&amp;" days")</f>
        <v>Thu 29 Oct 2026  —  in 14 days</v>
      </c>
      <c r="C33" s="285"/>
      <c r="D33" s="280"/>
      <c r="F33" s="195" t="s">
        <v>385</v>
      </c>
      <c r="G33" s="196">
        <f>Scorecard!H6</f>
        <v>6.4</v>
      </c>
      <c r="H33" s="196">
        <f>Scorecard!I6</f>
        <v>6.4</v>
      </c>
      <c r="I33" s="199">
        <f>IF(COUNT(G33,H33)&lt;2,"",G33-H33)</f>
        <v>0</v>
      </c>
      <c r="J33" s="185">
        <f>Scorecard!N6</f>
        <v>0</v>
      </c>
    </row>
    <row r="34" spans="1:10" ht="20.100000000000001" customHeight="1" x14ac:dyDescent="0.25">
      <c r="A34" s="194" t="s">
        <v>386</v>
      </c>
      <c r="B34" s="294" t="s">
        <v>408</v>
      </c>
      <c r="C34" s="285"/>
      <c r="D34" s="280"/>
      <c r="F34" s="195" t="s">
        <v>388</v>
      </c>
      <c r="G34" s="197">
        <v>2.6</v>
      </c>
      <c r="H34" s="197"/>
      <c r="I34" s="199" t="str">
        <f>IF(COUNT(G34,H34)&lt;2,"",G34-H34)</f>
        <v/>
      </c>
      <c r="J34" s="185"/>
    </row>
    <row r="35" spans="1:10" ht="20.100000000000001" customHeight="1" x14ac:dyDescent="0.25">
      <c r="A35" s="194" t="s">
        <v>389</v>
      </c>
      <c r="B35" s="294" t="s">
        <v>409</v>
      </c>
      <c r="C35" s="285"/>
      <c r="D35" s="280"/>
      <c r="F35" s="195" t="s">
        <v>391</v>
      </c>
      <c r="G35" s="197">
        <v>0.6</v>
      </c>
      <c r="H35" s="197">
        <v>0</v>
      </c>
      <c r="I35" s="199">
        <f>IF(COUNT(G35,H35)&lt;2,"",G35-H35)</f>
        <v>0.6</v>
      </c>
      <c r="J35" s="185"/>
    </row>
    <row r="36" spans="1:10" ht="32.1" customHeight="1" x14ac:dyDescent="0.25">
      <c r="A36" s="194" t="s">
        <v>392</v>
      </c>
      <c r="B36" s="294" t="s">
        <v>410</v>
      </c>
      <c r="C36" s="285"/>
      <c r="D36" s="280"/>
      <c r="F36" s="195" t="s">
        <v>394</v>
      </c>
      <c r="G36" s="200">
        <f>Scorecard!J6</f>
        <v>53.1</v>
      </c>
      <c r="H36" s="201"/>
      <c r="I36" s="202"/>
      <c r="J36" s="185">
        <f>Scorecard!O6</f>
        <v>1</v>
      </c>
    </row>
    <row r="37" spans="1:10" ht="32.1" customHeight="1" x14ac:dyDescent="0.25">
      <c r="A37" s="194" t="s">
        <v>395</v>
      </c>
      <c r="B37" s="294" t="s">
        <v>411</v>
      </c>
      <c r="C37" s="285"/>
      <c r="D37" s="280"/>
      <c r="F37" s="195" t="s">
        <v>397</v>
      </c>
      <c r="G37" s="196">
        <f>Scorecard!K6</f>
        <v>3.05</v>
      </c>
      <c r="H37" s="196">
        <f>Scorecard!L6</f>
        <v>3.26</v>
      </c>
      <c r="I37" s="198">
        <f>IF(COUNT(G37,H37)&lt;2,"",ROUND((G37-H37)*100,0))</f>
        <v>-21</v>
      </c>
      <c r="J37" s="185">
        <f>Scorecard!P6</f>
        <v>-1</v>
      </c>
    </row>
    <row r="38" spans="1:10" ht="57.95" customHeight="1" x14ac:dyDescent="0.25">
      <c r="A38" s="194" t="s">
        <v>398</v>
      </c>
      <c r="B38" s="188" t="s">
        <v>412</v>
      </c>
      <c r="C38" s="190" t="s">
        <v>242</v>
      </c>
      <c r="D38" s="189" t="s">
        <v>413</v>
      </c>
      <c r="F38" s="195" t="s">
        <v>401</v>
      </c>
      <c r="G38" s="196">
        <f>IF(COUNT(Scorecard!K6,Scorecard!E6)&lt;2,"",Scorecard!K6-Scorecard!E6)</f>
        <v>0.54999999999999982</v>
      </c>
      <c r="H38" s="196">
        <f>IF(COUNT(Scorecard!L6,Scorecard!F6)&lt;2,"",Scorecard!L6-Scorecard!F6)</f>
        <v>0.85999999999999988</v>
      </c>
      <c r="I38" s="199">
        <f>IF(COUNT(G38,H38)&lt;2,"",G38-H38)</f>
        <v>-0.31000000000000005</v>
      </c>
      <c r="J38" s="185"/>
    </row>
    <row r="39" spans="1:10" ht="20.100000000000001" customHeight="1" x14ac:dyDescent="0.25">
      <c r="A39" s="194" t="s">
        <v>402</v>
      </c>
      <c r="B39" s="188"/>
      <c r="C39" s="294"/>
      <c r="D39" s="280"/>
      <c r="F39" s="194" t="s">
        <v>403</v>
      </c>
      <c r="G39" s="203">
        <f>Scorecard!Q6</f>
        <v>1</v>
      </c>
      <c r="H39" s="204"/>
      <c r="I39" s="202"/>
      <c r="J39" s="185" t="str">
        <f>Scorecard!R6</f>
        <v>NEUTRAL</v>
      </c>
    </row>
    <row r="42" spans="1:10" ht="27.95" customHeight="1" x14ac:dyDescent="0.25">
      <c r="A42" s="207" t="s">
        <v>414</v>
      </c>
      <c r="B42" s="208"/>
      <c r="C42" s="208"/>
      <c r="D42" s="208"/>
      <c r="E42" s="208"/>
      <c r="F42" s="208"/>
      <c r="G42" s="208"/>
      <c r="H42" s="208"/>
      <c r="I42" s="208"/>
      <c r="J42" s="208"/>
    </row>
    <row r="43" spans="1:10" ht="21.95" customHeight="1" x14ac:dyDescent="0.25">
      <c r="A43" s="300" t="s">
        <v>370</v>
      </c>
      <c r="B43" s="273"/>
      <c r="C43" s="273"/>
      <c r="D43" s="273"/>
      <c r="F43" s="184" t="s">
        <v>371</v>
      </c>
      <c r="G43" s="184" t="s">
        <v>372</v>
      </c>
      <c r="H43" s="184" t="s">
        <v>373</v>
      </c>
      <c r="I43" s="184" t="s">
        <v>374</v>
      </c>
      <c r="J43" s="184" t="s">
        <v>17</v>
      </c>
    </row>
    <row r="44" spans="1:10" ht="20.100000000000001" customHeight="1" x14ac:dyDescent="0.25">
      <c r="A44" s="194" t="s">
        <v>375</v>
      </c>
      <c r="B44" s="294" t="s">
        <v>415</v>
      </c>
      <c r="C44" s="285"/>
      <c r="D44" s="280"/>
      <c r="F44" s="195" t="s">
        <v>377</v>
      </c>
      <c r="G44" s="196">
        <f>Scorecard!C7</f>
        <v>3.75</v>
      </c>
      <c r="H44" s="197">
        <v>3.75</v>
      </c>
      <c r="I44" s="198">
        <f>IF(COUNT(G44,H44)&lt;2,"",ROUND((G44-H44)*100,0))</f>
        <v>0</v>
      </c>
      <c r="J44" s="185"/>
    </row>
    <row r="45" spans="1:10" ht="20.100000000000001" customHeight="1" x14ac:dyDescent="0.25">
      <c r="A45" s="194" t="s">
        <v>378</v>
      </c>
      <c r="B45" s="294" t="s">
        <v>416</v>
      </c>
      <c r="C45" s="285"/>
      <c r="D45" s="280"/>
      <c r="F45" s="195" t="s">
        <v>380</v>
      </c>
      <c r="G45" s="196">
        <f>Scorecard!E7</f>
        <v>2.6</v>
      </c>
      <c r="H45" s="196">
        <f>Scorecard!F7</f>
        <v>2.6</v>
      </c>
      <c r="I45" s="199">
        <f>IF(COUNT(G45,H45)&lt;2,"",G45-H45)</f>
        <v>0</v>
      </c>
      <c r="J45" s="185">
        <f>Scorecard!M7</f>
        <v>1</v>
      </c>
    </row>
    <row r="46" spans="1:10" ht="45" customHeight="1" x14ac:dyDescent="0.25">
      <c r="A46" s="194" t="s">
        <v>381</v>
      </c>
      <c r="B46" s="294" t="s">
        <v>417</v>
      </c>
      <c r="C46" s="285"/>
      <c r="D46" s="280"/>
      <c r="F46" s="195" t="s">
        <v>383</v>
      </c>
      <c r="G46" s="197">
        <v>3.1</v>
      </c>
      <c r="H46" s="197">
        <v>2.8</v>
      </c>
      <c r="I46" s="199">
        <f>IF(COUNT(G46,H46)&lt;2,"",G46-H46)</f>
        <v>0.30000000000000027</v>
      </c>
      <c r="J46" s="185"/>
    </row>
    <row r="47" spans="1:10" ht="32.1" customHeight="1" x14ac:dyDescent="0.25">
      <c r="A47" s="194" t="s">
        <v>384</v>
      </c>
      <c r="B47" s="296" t="str">
        <f ca="1">IF(Scorecard!D7="","not in Events list",TEXT(Scorecard!D7,"ddd d mmm yyyy")&amp;"  —  in "&amp;(Scorecard!D7-TODAY())&amp;" days")</f>
        <v>Thu 5 Nov 2026  —  in 21 days</v>
      </c>
      <c r="C47" s="285"/>
      <c r="D47" s="280"/>
      <c r="F47" s="195" t="s">
        <v>385</v>
      </c>
      <c r="G47" s="196">
        <f>Scorecard!H7</f>
        <v>4.9000000000000004</v>
      </c>
      <c r="H47" s="196">
        <f>Scorecard!I7</f>
        <v>4.9000000000000004</v>
      </c>
      <c r="I47" s="199">
        <f>IF(COUNT(G47,H47)&lt;2,"",G47-H47)</f>
        <v>0</v>
      </c>
      <c r="J47" s="185">
        <f>Scorecard!N7</f>
        <v>0</v>
      </c>
    </row>
    <row r="48" spans="1:10" ht="32.1" customHeight="1" x14ac:dyDescent="0.25">
      <c r="A48" s="194" t="s">
        <v>386</v>
      </c>
      <c r="B48" s="294" t="s">
        <v>418</v>
      </c>
      <c r="C48" s="285"/>
      <c r="D48" s="280"/>
      <c r="F48" s="195" t="s">
        <v>388</v>
      </c>
      <c r="G48" s="197">
        <v>3.5</v>
      </c>
      <c r="H48" s="197">
        <v>3.4</v>
      </c>
      <c r="I48" s="199">
        <f>IF(COUNT(G48,H48)&lt;2,"",G48-H48)</f>
        <v>0.10000000000000009</v>
      </c>
      <c r="J48" s="185"/>
    </row>
    <row r="49" spans="1:10" ht="20.100000000000001" customHeight="1" x14ac:dyDescent="0.25">
      <c r="A49" s="194" t="s">
        <v>389</v>
      </c>
      <c r="B49" s="294" t="s">
        <v>419</v>
      </c>
      <c r="C49" s="285"/>
      <c r="D49" s="280"/>
      <c r="F49" s="195" t="s">
        <v>391</v>
      </c>
      <c r="G49" s="197">
        <v>0.5</v>
      </c>
      <c r="H49" s="197">
        <v>0.6</v>
      </c>
      <c r="I49" s="199">
        <f>IF(COUNT(G49,H49)&lt;2,"",G49-H49)</f>
        <v>-9.9999999999999978E-2</v>
      </c>
      <c r="J49" s="185"/>
    </row>
    <row r="50" spans="1:10" ht="32.1" customHeight="1" x14ac:dyDescent="0.25">
      <c r="A50" s="194" t="s">
        <v>392</v>
      </c>
      <c r="B50" s="294" t="s">
        <v>420</v>
      </c>
      <c r="C50" s="285"/>
      <c r="D50" s="280"/>
      <c r="F50" s="195" t="s">
        <v>394</v>
      </c>
      <c r="G50" s="200">
        <f>Scorecard!J7</f>
        <v>52</v>
      </c>
      <c r="H50" s="201"/>
      <c r="I50" s="202"/>
      <c r="J50" s="185">
        <f>Scorecard!O7</f>
        <v>1</v>
      </c>
    </row>
    <row r="51" spans="1:10" ht="32.1" customHeight="1" x14ac:dyDescent="0.25">
      <c r="A51" s="194" t="s">
        <v>395</v>
      </c>
      <c r="B51" s="294" t="s">
        <v>421</v>
      </c>
      <c r="C51" s="285"/>
      <c r="D51" s="280"/>
      <c r="F51" s="195" t="s">
        <v>397</v>
      </c>
      <c r="G51" s="196">
        <f>Scorecard!K7</f>
        <v>4.8499999999999996</v>
      </c>
      <c r="H51" s="196">
        <f>Scorecard!L7</f>
        <v>4.92</v>
      </c>
      <c r="I51" s="198">
        <f>IF(COUNT(G51,H51)&lt;2,"",ROUND((G51-H51)*100,0))</f>
        <v>-7</v>
      </c>
      <c r="J51" s="185">
        <f>Scorecard!P7</f>
        <v>0</v>
      </c>
    </row>
    <row r="52" spans="1:10" ht="57.95" customHeight="1" x14ac:dyDescent="0.25">
      <c r="A52" s="194" t="s">
        <v>398</v>
      </c>
      <c r="B52" s="188" t="s">
        <v>399</v>
      </c>
      <c r="C52" s="190" t="s">
        <v>239</v>
      </c>
      <c r="D52" s="189" t="s">
        <v>422</v>
      </c>
      <c r="F52" s="195" t="s">
        <v>401</v>
      </c>
      <c r="G52" s="196">
        <f>IF(COUNT(Scorecard!K7,Scorecard!E7)&lt;2,"",Scorecard!K7-Scorecard!E7)</f>
        <v>2.2499999999999996</v>
      </c>
      <c r="H52" s="196">
        <f>IF(COUNT(Scorecard!L7,Scorecard!F7)&lt;2,"",Scorecard!L7-Scorecard!F7)</f>
        <v>2.3199999999999998</v>
      </c>
      <c r="I52" s="199">
        <f>IF(COUNT(G52,H52)&lt;2,"",G52-H52)</f>
        <v>-7.0000000000000284E-2</v>
      </c>
      <c r="J52" s="185"/>
    </row>
    <row r="53" spans="1:10" ht="20.100000000000001" customHeight="1" x14ac:dyDescent="0.25">
      <c r="A53" s="194" t="s">
        <v>402</v>
      </c>
      <c r="B53" s="188"/>
      <c r="C53" s="294"/>
      <c r="D53" s="280"/>
      <c r="F53" s="194" t="s">
        <v>403</v>
      </c>
      <c r="G53" s="203">
        <f>Scorecard!Q7</f>
        <v>2</v>
      </c>
      <c r="H53" s="204"/>
      <c r="I53" s="202"/>
      <c r="J53" s="185" t="str">
        <f>Scorecard!R7</f>
        <v>HAWKISH</v>
      </c>
    </row>
    <row r="56" spans="1:10" ht="27.95" customHeight="1" x14ac:dyDescent="0.25">
      <c r="A56" s="209" t="s">
        <v>423</v>
      </c>
      <c r="B56" s="210"/>
      <c r="C56" s="210"/>
      <c r="D56" s="210"/>
      <c r="E56" s="210"/>
      <c r="F56" s="210"/>
      <c r="G56" s="210"/>
      <c r="H56" s="210"/>
      <c r="I56" s="210"/>
      <c r="J56" s="210"/>
    </row>
    <row r="57" spans="1:10" ht="21.95" customHeight="1" x14ac:dyDescent="0.25">
      <c r="A57" s="300" t="s">
        <v>370</v>
      </c>
      <c r="B57" s="273"/>
      <c r="C57" s="273"/>
      <c r="D57" s="273"/>
      <c r="F57" s="184" t="s">
        <v>371</v>
      </c>
      <c r="G57" s="184" t="s">
        <v>372</v>
      </c>
      <c r="H57" s="184" t="s">
        <v>373</v>
      </c>
      <c r="I57" s="184" t="s">
        <v>374</v>
      </c>
      <c r="J57" s="184" t="s">
        <v>17</v>
      </c>
    </row>
    <row r="58" spans="1:10" ht="20.100000000000001" customHeight="1" x14ac:dyDescent="0.25">
      <c r="A58" s="194" t="s">
        <v>375</v>
      </c>
      <c r="B58" s="294" t="s">
        <v>424</v>
      </c>
      <c r="C58" s="285"/>
      <c r="D58" s="280"/>
      <c r="F58" s="195" t="s">
        <v>377</v>
      </c>
      <c r="G58" s="196">
        <f>Scorecard!C8</f>
        <v>1.25</v>
      </c>
      <c r="H58" s="197">
        <v>1</v>
      </c>
      <c r="I58" s="198">
        <f>IF(COUNT(G58,H58)&lt;2,"",ROUND((G58-H58)*100,0))</f>
        <v>25</v>
      </c>
      <c r="J58" s="185"/>
    </row>
    <row r="59" spans="1:10" ht="20.100000000000001" customHeight="1" x14ac:dyDescent="0.25">
      <c r="A59" s="194" t="s">
        <v>378</v>
      </c>
      <c r="B59" s="294" t="s">
        <v>425</v>
      </c>
      <c r="C59" s="285"/>
      <c r="D59" s="280"/>
      <c r="F59" s="195" t="s">
        <v>380</v>
      </c>
      <c r="G59" s="196">
        <f>Scorecard!E8</f>
        <v>1.9</v>
      </c>
      <c r="H59" s="196">
        <f>Scorecard!F8</f>
        <v>1.8</v>
      </c>
      <c r="I59" s="199">
        <f>IF(COUNT(G59,H59)&lt;2,"",G59-H59)</f>
        <v>9.9999999999999867E-2</v>
      </c>
      <c r="J59" s="185">
        <f>Scorecard!M8</f>
        <v>0</v>
      </c>
    </row>
    <row r="60" spans="1:10" ht="45" customHeight="1" x14ac:dyDescent="0.25">
      <c r="A60" s="194" t="s">
        <v>381</v>
      </c>
      <c r="B60" s="294" t="s">
        <v>426</v>
      </c>
      <c r="C60" s="285"/>
      <c r="D60" s="280"/>
      <c r="F60" s="195" t="s">
        <v>383</v>
      </c>
      <c r="G60" s="197">
        <v>1.9</v>
      </c>
      <c r="H60" s="197"/>
      <c r="I60" s="199" t="str">
        <f>IF(COUNT(G60,H60)&lt;2,"",G60-H60)</f>
        <v/>
      </c>
      <c r="J60" s="185"/>
    </row>
    <row r="61" spans="1:10" ht="32.1" customHeight="1" x14ac:dyDescent="0.25">
      <c r="A61" s="194" t="s">
        <v>384</v>
      </c>
      <c r="B61" s="296" t="str">
        <f ca="1">IF(Scorecard!D8="","not in Events list",TEXT(Scorecard!D8,"ddd d mmm yyyy")&amp;"  —  in "&amp;(Scorecard!D8-TODAY())&amp;" days")</f>
        <v>Fri 30 Oct 2026  —  in 15 days</v>
      </c>
      <c r="C61" s="285"/>
      <c r="D61" s="280"/>
      <c r="F61" s="195" t="s">
        <v>385</v>
      </c>
      <c r="G61" s="196">
        <f>Scorecard!H8</f>
        <v>2.5</v>
      </c>
      <c r="H61" s="196">
        <f>Scorecard!I8</f>
        <v>2.5</v>
      </c>
      <c r="I61" s="199">
        <f>IF(COUNT(G61,H61)&lt;2,"",G61-H61)</f>
        <v>0</v>
      </c>
      <c r="J61" s="185">
        <f>Scorecard!N8</f>
        <v>0</v>
      </c>
    </row>
    <row r="62" spans="1:10" ht="32.1" customHeight="1" x14ac:dyDescent="0.25">
      <c r="A62" s="194" t="s">
        <v>386</v>
      </c>
      <c r="B62" s="294" t="s">
        <v>427</v>
      </c>
      <c r="C62" s="285"/>
      <c r="D62" s="280"/>
      <c r="F62" s="195" t="s">
        <v>388</v>
      </c>
      <c r="G62" s="197">
        <v>4.7</v>
      </c>
      <c r="H62" s="197"/>
      <c r="I62" s="199" t="str">
        <f>IF(COUNT(G62,H62)&lt;2,"",G62-H62)</f>
        <v/>
      </c>
      <c r="J62" s="185"/>
    </row>
    <row r="63" spans="1:10" ht="20.100000000000001" customHeight="1" x14ac:dyDescent="0.25">
      <c r="A63" s="194" t="s">
        <v>389</v>
      </c>
      <c r="B63" s="294" t="s">
        <v>428</v>
      </c>
      <c r="C63" s="285"/>
      <c r="D63" s="280"/>
      <c r="F63" s="195" t="s">
        <v>391</v>
      </c>
      <c r="G63" s="197">
        <v>0.35</v>
      </c>
      <c r="H63" s="197">
        <v>0.45</v>
      </c>
      <c r="I63" s="199">
        <f>IF(COUNT(G63,H63)&lt;2,"",G63-H63)</f>
        <v>-0.10000000000000003</v>
      </c>
      <c r="J63" s="185"/>
    </row>
    <row r="64" spans="1:10" ht="32.1" customHeight="1" x14ac:dyDescent="0.25">
      <c r="A64" s="194" t="s">
        <v>392</v>
      </c>
      <c r="B64" s="294" t="s">
        <v>429</v>
      </c>
      <c r="C64" s="285"/>
      <c r="D64" s="280"/>
      <c r="F64" s="195" t="s">
        <v>394</v>
      </c>
      <c r="G64" s="200">
        <f>Scorecard!J8</f>
        <v>52.3</v>
      </c>
      <c r="H64" s="201"/>
      <c r="I64" s="202"/>
      <c r="J64" s="185">
        <f>Scorecard!O8</f>
        <v>1</v>
      </c>
    </row>
    <row r="65" spans="1:10" ht="32.1" customHeight="1" x14ac:dyDescent="0.25">
      <c r="A65" s="194" t="s">
        <v>395</v>
      </c>
      <c r="B65" s="294" t="s">
        <v>430</v>
      </c>
      <c r="C65" s="285"/>
      <c r="D65" s="280"/>
      <c r="F65" s="195" t="s">
        <v>397</v>
      </c>
      <c r="G65" s="196">
        <f>Scorecard!K8</f>
        <v>1.9</v>
      </c>
      <c r="H65" s="196">
        <f>Scorecard!L8</f>
        <v>1.84</v>
      </c>
      <c r="I65" s="198">
        <f>IF(COUNT(G65,H65)&lt;2,"",ROUND((G65-H65)*100,0))</f>
        <v>6</v>
      </c>
      <c r="J65" s="185">
        <f>Scorecard!P8</f>
        <v>0</v>
      </c>
    </row>
    <row r="66" spans="1:10" ht="71.099999999999994" customHeight="1" x14ac:dyDescent="0.25">
      <c r="A66" s="194" t="s">
        <v>398</v>
      </c>
      <c r="B66" s="188" t="s">
        <v>412</v>
      </c>
      <c r="C66" s="190" t="s">
        <v>364</v>
      </c>
      <c r="D66" s="189" t="s">
        <v>431</v>
      </c>
      <c r="F66" s="195" t="s">
        <v>401</v>
      </c>
      <c r="G66" s="196">
        <f>IF(COUNT(Scorecard!K8,Scorecard!E8)&lt;2,"",Scorecard!K8-Scorecard!E8)</f>
        <v>0</v>
      </c>
      <c r="H66" s="196">
        <f>IF(COUNT(Scorecard!L8,Scorecard!F8)&lt;2,"",Scorecard!L8-Scorecard!F8)</f>
        <v>4.0000000000000036E-2</v>
      </c>
      <c r="I66" s="199">
        <f>IF(COUNT(G66,H66)&lt;2,"",G66-H66)</f>
        <v>-4.0000000000000036E-2</v>
      </c>
      <c r="J66" s="185"/>
    </row>
    <row r="67" spans="1:10" ht="20.100000000000001" customHeight="1" x14ac:dyDescent="0.25">
      <c r="A67" s="194" t="s">
        <v>402</v>
      </c>
      <c r="B67" s="188"/>
      <c r="C67" s="294"/>
      <c r="D67" s="280"/>
      <c r="F67" s="194" t="s">
        <v>403</v>
      </c>
      <c r="G67" s="203">
        <f>Scorecard!Q8</f>
        <v>1</v>
      </c>
      <c r="H67" s="204"/>
      <c r="I67" s="202"/>
      <c r="J67" s="185" t="str">
        <f>Scorecard!R8</f>
        <v>NEUTRAL</v>
      </c>
    </row>
    <row r="70" spans="1:10" ht="27.95" customHeight="1" x14ac:dyDescent="0.25">
      <c r="A70" s="211" t="s">
        <v>432</v>
      </c>
      <c r="B70" s="212"/>
      <c r="C70" s="212"/>
      <c r="D70" s="212"/>
      <c r="E70" s="212"/>
      <c r="F70" s="212"/>
      <c r="G70" s="212"/>
      <c r="H70" s="212"/>
      <c r="I70" s="212"/>
      <c r="J70" s="212"/>
    </row>
    <row r="71" spans="1:10" x14ac:dyDescent="0.25">
      <c r="A71" s="300" t="s">
        <v>433</v>
      </c>
      <c r="B71" s="273"/>
      <c r="C71" s="273"/>
      <c r="D71" s="273"/>
      <c r="F71" s="184" t="s">
        <v>434</v>
      </c>
      <c r="G71" s="184" t="s">
        <v>372</v>
      </c>
      <c r="H71" s="184" t="s">
        <v>435</v>
      </c>
      <c r="I71" s="184" t="s">
        <v>374</v>
      </c>
      <c r="J71" s="184" t="s">
        <v>17</v>
      </c>
    </row>
    <row r="72" spans="1:10" ht="20.100000000000001" customHeight="1" x14ac:dyDescent="0.25">
      <c r="A72" s="194" t="s">
        <v>398</v>
      </c>
      <c r="B72" s="188" t="s">
        <v>436</v>
      </c>
      <c r="C72" s="190" t="s">
        <v>242</v>
      </c>
      <c r="D72" s="294" t="s">
        <v>437</v>
      </c>
      <c r="F72" s="213" t="s">
        <v>438</v>
      </c>
      <c r="G72" s="196">
        <f>'Risk &amp; Gold'!B13</f>
        <v>2.88</v>
      </c>
      <c r="H72" s="196">
        <f>'Risk &amp; Gold'!C13</f>
        <v>2.62</v>
      </c>
      <c r="I72" s="214">
        <f>'Risk &amp; Gold'!D13</f>
        <v>25.999999999999979</v>
      </c>
      <c r="J72" s="185">
        <f>'Risk &amp; Gold'!E13</f>
        <v>-1</v>
      </c>
    </row>
    <row r="73" spans="1:10" ht="20.100000000000001" customHeight="1" x14ac:dyDescent="0.25">
      <c r="A73" s="215"/>
      <c r="B73" s="215"/>
      <c r="C73" s="215"/>
      <c r="D73" s="297"/>
      <c r="F73" s="213" t="s">
        <v>439</v>
      </c>
      <c r="G73" s="196">
        <f>'Risk &amp; Gold'!B14</f>
        <v>102.11</v>
      </c>
      <c r="H73" s="196">
        <f>'Risk &amp; Gold'!C14</f>
        <v>99.48</v>
      </c>
      <c r="I73" s="216">
        <f>'Risk &amp; Gold'!D14</f>
        <v>2.6437474869320354</v>
      </c>
      <c r="J73" s="185">
        <f>'Risk &amp; Gold'!E14</f>
        <v>-1</v>
      </c>
    </row>
    <row r="74" spans="1:10" ht="20.100000000000001" customHeight="1" x14ac:dyDescent="0.25">
      <c r="A74" s="215"/>
      <c r="B74" s="215"/>
      <c r="C74" s="215"/>
      <c r="D74" s="298"/>
      <c r="F74" s="213" t="s">
        <v>18</v>
      </c>
      <c r="G74" s="217" t="str">
        <f>'Risk &amp; Gold'!B15</f>
        <v>RISK-ON</v>
      </c>
      <c r="H74" s="217"/>
      <c r="I74" s="218"/>
      <c r="J74" s="185">
        <f>'Risk &amp; Gold'!E15</f>
        <v>0</v>
      </c>
    </row>
    <row r="75" spans="1:10" ht="20.100000000000001" customHeight="1" x14ac:dyDescent="0.25">
      <c r="A75" s="194" t="s">
        <v>402</v>
      </c>
      <c r="B75" s="188"/>
      <c r="C75" s="294"/>
      <c r="D75" s="305"/>
      <c r="F75" s="213" t="s">
        <v>440</v>
      </c>
      <c r="G75" s="203">
        <f>'Risk &amp; Gold'!B16</f>
        <v>0</v>
      </c>
      <c r="H75" s="203"/>
      <c r="I75" s="218"/>
      <c r="J75" s="185">
        <f>'Risk &amp; Gold'!E16</f>
        <v>0</v>
      </c>
    </row>
    <row r="76" spans="1:10" ht="20.100000000000001" customHeight="1" x14ac:dyDescent="0.25">
      <c r="A76" s="215"/>
      <c r="B76" s="215"/>
      <c r="C76" s="306"/>
      <c r="D76" s="307"/>
      <c r="F76" s="219" t="s">
        <v>441</v>
      </c>
      <c r="G76" s="203">
        <f>'Risk &amp; Gold'!E17</f>
        <v>-2</v>
      </c>
      <c r="H76" s="203"/>
      <c r="I76" s="218"/>
      <c r="J76" s="185" t="str">
        <f>'Risk &amp; Gold'!B18</f>
        <v>SHORT</v>
      </c>
    </row>
    <row r="78" spans="1:10" x14ac:dyDescent="0.25">
      <c r="A78" s="299" t="s">
        <v>442</v>
      </c>
      <c r="B78" s="273"/>
      <c r="C78" s="273"/>
      <c r="D78" s="273"/>
      <c r="E78" s="273"/>
      <c r="F78" s="273"/>
      <c r="G78" s="273"/>
      <c r="H78" s="273"/>
      <c r="I78" s="273"/>
      <c r="J78" s="273"/>
    </row>
    <row r="79" spans="1:10" x14ac:dyDescent="0.25">
      <c r="A79" s="273"/>
      <c r="B79" s="273"/>
      <c r="C79" s="273"/>
      <c r="D79" s="273"/>
      <c r="E79" s="273"/>
      <c r="F79" s="273"/>
      <c r="G79" s="273"/>
      <c r="H79" s="273"/>
      <c r="I79" s="273"/>
      <c r="J79" s="273"/>
    </row>
  </sheetData>
  <mergeCells count="58">
    <mergeCell ref="C75:D76"/>
    <mergeCell ref="I9:J9"/>
    <mergeCell ref="B48:D48"/>
    <mergeCell ref="I5:J5"/>
    <mergeCell ref="B62:D62"/>
    <mergeCell ref="I8:J8"/>
    <mergeCell ref="D9:E9"/>
    <mergeCell ref="B47:D47"/>
    <mergeCell ref="B16:D16"/>
    <mergeCell ref="C39:D39"/>
    <mergeCell ref="D8:E8"/>
    <mergeCell ref="B59:D59"/>
    <mergeCell ref="B31:D31"/>
    <mergeCell ref="B46:D46"/>
    <mergeCell ref="B22:D22"/>
    <mergeCell ref="B18:D18"/>
    <mergeCell ref="A12:J12"/>
    <mergeCell ref="B58:D58"/>
    <mergeCell ref="A57:D57"/>
    <mergeCell ref="A1:G1"/>
    <mergeCell ref="D7:E7"/>
    <mergeCell ref="B45:D45"/>
    <mergeCell ref="B63:D63"/>
    <mergeCell ref="B32:D32"/>
    <mergeCell ref="B50:D50"/>
    <mergeCell ref="B35:D35"/>
    <mergeCell ref="B21:D21"/>
    <mergeCell ref="A2:J2"/>
    <mergeCell ref="C53:D53"/>
    <mergeCell ref="A78:J79"/>
    <mergeCell ref="A29:D29"/>
    <mergeCell ref="A4:J4"/>
    <mergeCell ref="A43:D43"/>
    <mergeCell ref="B44:D44"/>
    <mergeCell ref="A10:J10"/>
    <mergeCell ref="B34:D34"/>
    <mergeCell ref="D6:E6"/>
    <mergeCell ref="B19:D19"/>
    <mergeCell ref="B37:D37"/>
    <mergeCell ref="I7:J7"/>
    <mergeCell ref="C25:D25"/>
    <mergeCell ref="B49:D49"/>
    <mergeCell ref="A15:D15"/>
    <mergeCell ref="B30:D30"/>
    <mergeCell ref="B65:D65"/>
    <mergeCell ref="B60:D60"/>
    <mergeCell ref="I6:J6"/>
    <mergeCell ref="B23:D23"/>
    <mergeCell ref="B61:D61"/>
    <mergeCell ref="D72:D74"/>
    <mergeCell ref="B17:D17"/>
    <mergeCell ref="B51:D51"/>
    <mergeCell ref="B64:D64"/>
    <mergeCell ref="B20:D20"/>
    <mergeCell ref="B33:D33"/>
    <mergeCell ref="B36:D36"/>
    <mergeCell ref="C67:D67"/>
    <mergeCell ref="A71:D71"/>
  </mergeCells>
  <conditionalFormatting sqref="B24:B25">
    <cfRule type="expression" dxfId="171" priority="13" stopIfTrue="1">
      <formula>ISNUMBER(SEARCH("HAWKISH",B24))</formula>
    </cfRule>
    <cfRule type="expression" dxfId="170" priority="14" stopIfTrue="1">
      <formula>ISNUMBER(SEARCH("DOVISH",B24))</formula>
    </cfRule>
    <cfRule type="expression" dxfId="169" priority="15" stopIfTrue="1">
      <formula>ISNUMBER(SEARCH("NEUTRAL",B24))</formula>
    </cfRule>
  </conditionalFormatting>
  <conditionalFormatting sqref="B38:B39">
    <cfRule type="expression" dxfId="168" priority="42" stopIfTrue="1">
      <formula>ISNUMBER(SEARCH("NEUTRAL",B38))</formula>
    </cfRule>
    <cfRule type="expression" dxfId="167" priority="41" stopIfTrue="1">
      <formula>ISNUMBER(SEARCH("DOVISH",B38))</formula>
    </cfRule>
    <cfRule type="expression" dxfId="166" priority="40" stopIfTrue="1">
      <formula>ISNUMBER(SEARCH("HAWKISH",B38))</formula>
    </cfRule>
  </conditionalFormatting>
  <conditionalFormatting sqref="B52:B53">
    <cfRule type="expression" dxfId="165" priority="69" stopIfTrue="1">
      <formula>ISNUMBER(SEARCH("NEUTRAL",B52))</formula>
    </cfRule>
    <cfRule type="expression" dxfId="164" priority="68" stopIfTrue="1">
      <formula>ISNUMBER(SEARCH("DOVISH",B52))</formula>
    </cfRule>
    <cfRule type="expression" dxfId="163" priority="67" stopIfTrue="1">
      <formula>ISNUMBER(SEARCH("HAWKISH",B52))</formula>
    </cfRule>
  </conditionalFormatting>
  <conditionalFormatting sqref="B66:B67">
    <cfRule type="expression" dxfId="162" priority="96" stopIfTrue="1">
      <formula>ISNUMBER(SEARCH("NEUTRAL",B66))</formula>
    </cfRule>
    <cfRule type="expression" dxfId="161" priority="95" stopIfTrue="1">
      <formula>ISNUMBER(SEARCH("DOVISH",B66))</formula>
    </cfRule>
    <cfRule type="expression" dxfId="160" priority="94" stopIfTrue="1">
      <formula>ISNUMBER(SEARCH("HAWKISH",B66))</formula>
    </cfRule>
  </conditionalFormatting>
  <conditionalFormatting sqref="B72">
    <cfRule type="expression" dxfId="159" priority="134" stopIfTrue="1">
      <formula>ISNUMBER(SEARCH("NEUTRAL",B72))</formula>
    </cfRule>
    <cfRule type="expression" dxfId="158" priority="133" stopIfTrue="1">
      <formula>ISNUMBER(SEARCH("DOVISH",B72))</formula>
    </cfRule>
    <cfRule type="expression" dxfId="157" priority="132" stopIfTrue="1">
      <formula>ISNUMBER(SEARCH("HAWKISH",B72))</formula>
    </cfRule>
  </conditionalFormatting>
  <conditionalFormatting sqref="B75">
    <cfRule type="expression" dxfId="156" priority="136" stopIfTrue="1">
      <formula>ISNUMBER(SEARCH("DOVISH",B75))</formula>
    </cfRule>
    <cfRule type="expression" dxfId="155" priority="137" stopIfTrue="1">
      <formula>ISNUMBER(SEARCH("NEUTRAL",B75))</formula>
    </cfRule>
    <cfRule type="expression" dxfId="154" priority="135" stopIfTrue="1">
      <formula>ISNUMBER(SEARCH("HAWKISH",B75))</formula>
    </cfRule>
  </conditionalFormatting>
  <conditionalFormatting sqref="B6:C9">
    <cfRule type="expression" dxfId="153" priority="2" stopIfTrue="1">
      <formula>ISNUMBER(SEARCH("SHORT",B6))</formula>
    </cfRule>
    <cfRule type="expression" dxfId="152" priority="3" stopIfTrue="1">
      <formula>ISNUMBER(SEARCH("FLAT",B6))</formula>
    </cfRule>
    <cfRule type="expression" dxfId="151" priority="1" stopIfTrue="1">
      <formula>ISNUMBER(SEARCH("LONG",B6))</formula>
    </cfRule>
  </conditionalFormatting>
  <conditionalFormatting sqref="F6:F9">
    <cfRule type="expression" dxfId="150" priority="4" stopIfTrue="1">
      <formula>ISNUMBER(SEARCH("LONG",F6))</formula>
    </cfRule>
    <cfRule type="expression" dxfId="149" priority="6" stopIfTrue="1">
      <formula>ISNUMBER(SEARCH("FLAT",F6))</formula>
    </cfRule>
    <cfRule type="expression" dxfId="148" priority="5" stopIfTrue="1">
      <formula>ISNUMBER(SEARCH("SHORT",F6))</formula>
    </cfRule>
  </conditionalFormatting>
  <conditionalFormatting sqref="G6:G9">
    <cfRule type="expression" dxfId="147" priority="12" stopIfTrue="1">
      <formula>G6="Low"</formula>
    </cfRule>
    <cfRule type="expression" dxfId="146" priority="11" stopIfTrue="1">
      <formula>G6="Medium"</formula>
    </cfRule>
    <cfRule type="expression" dxfId="145" priority="10" stopIfTrue="1">
      <formula>G6="High"</formula>
    </cfRule>
  </conditionalFormatting>
  <conditionalFormatting sqref="H6:H9">
    <cfRule type="expression" dxfId="144" priority="7" stopIfTrue="1">
      <formula>H6="ALL AGREE"</formula>
    </cfRule>
    <cfRule type="expression" dxfId="143" priority="9" stopIfTrue="1">
      <formula>H6="SPLIT"</formula>
    </cfRule>
    <cfRule type="expression" dxfId="142" priority="8" stopIfTrue="1">
      <formula>H6="2 OF 3"</formula>
    </cfRule>
  </conditionalFormatting>
  <conditionalFormatting sqref="J16:J24">
    <cfRule type="expression" dxfId="141" priority="20" stopIfTrue="1">
      <formula>AND(ISNUMBER(J16),J16&lt;0)</formula>
    </cfRule>
    <cfRule type="expression" dxfId="140" priority="19" stopIfTrue="1">
      <formula>AND(ISNUMBER(J16),J16&gt;0)</formula>
    </cfRule>
  </conditionalFormatting>
  <conditionalFormatting sqref="J25">
    <cfRule type="expression" dxfId="139" priority="39" stopIfTrue="1">
      <formula>ISNUMBER(SEARCH("NEUTRAL",J25))</formula>
    </cfRule>
    <cfRule type="expression" dxfId="138" priority="37" stopIfTrue="1">
      <formula>ISNUMBER(SEARCH("HAWKISH",J25))</formula>
    </cfRule>
    <cfRule type="expression" dxfId="137" priority="38" stopIfTrue="1">
      <formula>ISNUMBER(SEARCH("DOVISH",J25))</formula>
    </cfRule>
  </conditionalFormatting>
  <conditionalFormatting sqref="J30:J38">
    <cfRule type="expression" dxfId="136" priority="46" stopIfTrue="1">
      <formula>AND(ISNUMBER(J30),J30&gt;0)</formula>
    </cfRule>
    <cfRule type="expression" dxfId="135" priority="47" stopIfTrue="1">
      <formula>AND(ISNUMBER(J30),J30&lt;0)</formula>
    </cfRule>
  </conditionalFormatting>
  <conditionalFormatting sqref="J39">
    <cfRule type="expression" dxfId="134" priority="64" stopIfTrue="1">
      <formula>ISNUMBER(SEARCH("HAWKISH",J39))</formula>
    </cfRule>
    <cfRule type="expression" dxfId="133" priority="65" stopIfTrue="1">
      <formula>ISNUMBER(SEARCH("DOVISH",J39))</formula>
    </cfRule>
    <cfRule type="expression" dxfId="132" priority="66" stopIfTrue="1">
      <formula>ISNUMBER(SEARCH("NEUTRAL",J39))</formula>
    </cfRule>
  </conditionalFormatting>
  <conditionalFormatting sqref="J44:J52">
    <cfRule type="expression" dxfId="131" priority="73" stopIfTrue="1">
      <formula>AND(ISNUMBER(J44),J44&gt;0)</formula>
    </cfRule>
    <cfRule type="expression" dxfId="130" priority="74" stopIfTrue="1">
      <formula>AND(ISNUMBER(J44),J44&lt;0)</formula>
    </cfRule>
  </conditionalFormatting>
  <conditionalFormatting sqref="J53">
    <cfRule type="expression" dxfId="129" priority="92" stopIfTrue="1">
      <formula>ISNUMBER(SEARCH("DOVISH",J53))</formula>
    </cfRule>
    <cfRule type="expression" dxfId="128" priority="93" stopIfTrue="1">
      <formula>ISNUMBER(SEARCH("NEUTRAL",J53))</formula>
    </cfRule>
    <cfRule type="expression" dxfId="127" priority="91" stopIfTrue="1">
      <formula>ISNUMBER(SEARCH("HAWKISH",J53))</formula>
    </cfRule>
  </conditionalFormatting>
  <conditionalFormatting sqref="J58:J66">
    <cfRule type="expression" dxfId="126" priority="101" stopIfTrue="1">
      <formula>AND(ISNUMBER(J58),J58&lt;0)</formula>
    </cfRule>
    <cfRule type="expression" dxfId="125" priority="100" stopIfTrue="1">
      <formula>AND(ISNUMBER(J58),J58&gt;0)</formula>
    </cfRule>
  </conditionalFormatting>
  <conditionalFormatting sqref="J67">
    <cfRule type="expression" dxfId="124" priority="118" stopIfTrue="1">
      <formula>ISNUMBER(SEARCH("HAWKISH",J67))</formula>
    </cfRule>
    <cfRule type="expression" dxfId="123" priority="120" stopIfTrue="1">
      <formula>ISNUMBER(SEARCH("NEUTRAL",J67))</formula>
    </cfRule>
    <cfRule type="expression" dxfId="122" priority="119" stopIfTrue="1">
      <formula>ISNUMBER(SEARCH("DOVISH",J67))</formula>
    </cfRule>
  </conditionalFormatting>
  <conditionalFormatting sqref="J72:J75">
    <cfRule type="expression" dxfId="121" priority="124" stopIfTrue="1">
      <formula>AND(ISNUMBER(J72),J72&gt;0)</formula>
    </cfRule>
    <cfRule type="expression" dxfId="120" priority="125" stopIfTrue="1">
      <formula>AND(ISNUMBER(J72),J72&lt;0)</formula>
    </cfRule>
  </conditionalFormatting>
  <conditionalFormatting sqref="J76">
    <cfRule type="expression" dxfId="119" priority="121" stopIfTrue="1">
      <formula>ISNUMBER(SEARCH("LONG",J76))</formula>
    </cfRule>
    <cfRule type="expression" dxfId="118" priority="122" stopIfTrue="1">
      <formula>ISNUMBER(SEARCH("SHORT",J76))</formula>
    </cfRule>
    <cfRule type="expression" dxfId="117" priority="123" stopIfTrue="1">
      <formula>ISNUMBER(SEARCH("FLAT",J76))</formula>
    </cfRule>
  </conditionalFormatting>
  <dataValidations count="3">
    <dataValidation type="list" allowBlank="1" sqref="C6:C9 F6:F9" xr:uid="{00000000-0002-0000-0300-000000000000}">
      <formula1>"LONG,SHORT,FLAT"</formula1>
    </dataValidation>
    <dataValidation type="list" allowBlank="1" sqref="C24 C38 C52 C66 C72 G6:G9" xr:uid="{00000000-0002-0000-0300-000001000000}">
      <formula1>"High,Medium,Low"</formula1>
    </dataValidation>
    <dataValidation type="list" allowBlank="1" sqref="B24 B25 B38 B39 B52 B53 B66 B67 B72 B75" xr:uid="{00000000-0002-0000-0300-000002000000}">
      <formula1>"HAWKISH,NEUTRAL,DOVISH"</formula1>
    </dataValidation>
  </dataValidations>
  <hyperlinks>
    <hyperlink ref="J1" location="'Guide'!A1" display="← Guide" xr:uid="{00000000-0004-0000-0300-000000000000}"/>
  </hyperlinks>
  <pageMargins left="0.75" right="0.75" top="1" bottom="1" header="0.5" footer="0.5"/>
  <pageSetup fitToHeight="0"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pageSetUpPr fitToPage="1"/>
  </sheetPr>
  <dimension ref="A1:L27"/>
  <sheetViews>
    <sheetView showGridLines="0" zoomScaleNormal="100" workbookViewId="0">
      <pane ySplit="2" topLeftCell="A3" activePane="bottomLeft" state="frozen"/>
      <selection pane="bottomLeft" activeCell="L5" sqref="L5"/>
    </sheetView>
  </sheetViews>
  <sheetFormatPr defaultColWidth="8.7109375" defaultRowHeight="15" x14ac:dyDescent="0.25"/>
  <cols>
    <col min="1" max="1" width="47.28515625" customWidth="1"/>
    <col min="2" max="2" width="12" customWidth="1"/>
    <col min="3" max="3" width="9" customWidth="1"/>
    <col min="4" max="4" width="13" customWidth="1"/>
    <col min="5" max="5" width="12" customWidth="1"/>
    <col min="6" max="6" width="13.28515625" customWidth="1"/>
    <col min="7" max="7" width="11" customWidth="1"/>
    <col min="8" max="8" width="27.5703125" customWidth="1"/>
    <col min="9" max="9" width="42" customWidth="1"/>
    <col min="11" max="11" width="27" customWidth="1"/>
    <col min="12" max="12" width="22.85546875" customWidth="1"/>
  </cols>
  <sheetData>
    <row r="1" spans="1:12" ht="33.950000000000003" customHeight="1" x14ac:dyDescent="0.25">
      <c r="A1" s="2" t="s">
        <v>443</v>
      </c>
      <c r="B1" s="3"/>
      <c r="C1" s="3"/>
      <c r="D1" s="3"/>
      <c r="E1" s="3"/>
      <c r="F1" s="3"/>
      <c r="G1" s="3"/>
      <c r="H1" s="3"/>
      <c r="I1" s="3"/>
      <c r="J1" s="44"/>
      <c r="K1" s="44"/>
      <c r="L1" s="45" t="s">
        <v>1</v>
      </c>
    </row>
    <row r="2" spans="1:12" ht="20.100000000000001" customHeight="1" x14ac:dyDescent="0.25">
      <c r="A2" s="4" t="s">
        <v>444</v>
      </c>
      <c r="J2" s="7"/>
      <c r="K2" s="7"/>
      <c r="L2" s="7"/>
    </row>
    <row r="3" spans="1:12" ht="18" customHeight="1" x14ac:dyDescent="0.25">
      <c r="A3" s="7"/>
      <c r="B3" s="7"/>
      <c r="C3" s="7"/>
      <c r="D3" s="7"/>
      <c r="E3" s="7"/>
      <c r="F3" s="7"/>
      <c r="G3" s="7"/>
      <c r="H3" s="7"/>
      <c r="I3" s="7"/>
      <c r="J3" s="7"/>
      <c r="K3" s="58" t="s">
        <v>445</v>
      </c>
      <c r="L3" s="7"/>
    </row>
    <row r="4" spans="1:12" ht="31.15" customHeight="1" x14ac:dyDescent="0.25">
      <c r="A4" s="8" t="s">
        <v>446</v>
      </c>
      <c r="B4" s="46" t="str">
        <f>L4</f>
        <v>USD</v>
      </c>
      <c r="C4" s="46" t="s">
        <v>447</v>
      </c>
      <c r="D4" s="46" t="s">
        <v>448</v>
      </c>
      <c r="E4" s="46" t="str">
        <f>L5</f>
        <v>GBP</v>
      </c>
      <c r="F4" s="46" t="s">
        <v>449</v>
      </c>
      <c r="G4" s="46" t="s">
        <v>450</v>
      </c>
      <c r="H4" s="46" t="s">
        <v>451</v>
      </c>
      <c r="I4" s="46" t="s">
        <v>452</v>
      </c>
      <c r="J4" s="7"/>
      <c r="K4" s="59" t="s">
        <v>453</v>
      </c>
      <c r="L4" s="60" t="s">
        <v>276</v>
      </c>
    </row>
    <row r="5" spans="1:12" ht="21.2" customHeight="1" x14ac:dyDescent="0.25">
      <c r="A5" s="61" t="s">
        <v>454</v>
      </c>
      <c r="B5" s="51">
        <f>IFERROR(IF(INDEX(Scorecard!$M$5:$M$12,MATCH($L$4,Scorecard!$A$5:$A$12,0))="","",INDEX(Scorecard!$M$5:$M$12,MATCH($L$4,Scorecard!$A$5:$A$12,0))),"")</f>
        <v>1</v>
      </c>
      <c r="C5" s="62" t="str">
        <f>IF(F5="","",REPT("■",MIN(6,ROUND(MAX(0,F5)*1,0))))</f>
        <v/>
      </c>
      <c r="D5" s="63" t="str">
        <f>IF(F5="","",REPT("■",MIN(6,ROUND(MAX(0,-F5)*1,0))))</f>
        <v/>
      </c>
      <c r="E5" s="51">
        <f>IFERROR(IF(INDEX(Scorecard!$M$5:$M$12,MATCH($L$5,Scorecard!$A$5:$A$12,0))="","",INDEX(Scorecard!$M$5:$M$12,MATCH($L$5,Scorecard!$A$5:$A$12,0))),"")</f>
        <v>1</v>
      </c>
      <c r="F5" s="64">
        <f t="shared" ref="F5:F12" si="0">IF(OR(B5="",E5=""),"",B5-E5)</f>
        <v>0</v>
      </c>
      <c r="G5" s="53" t="str">
        <f t="shared" ref="G5:G11" si="1">IF(F5="","",IF(ABS(F5)&lt;0.1,"LEVEL",IF(F5&gt;0,$L$4,$L$5)))</f>
        <v>LEVEL</v>
      </c>
      <c r="H5" s="65" t="str">
        <f t="shared" ref="H5:H11" si="2">IF(OR(G5="",G5="LEVEL",$L$9=""),"—",IF(G5=$L$9,"BACKS THE CALL","AGAINST"))</f>
        <v>—</v>
      </c>
      <c r="I5" s="66" t="s">
        <v>455</v>
      </c>
      <c r="J5" s="7"/>
      <c r="K5" s="59" t="s">
        <v>456</v>
      </c>
      <c r="L5" s="60" t="s">
        <v>289</v>
      </c>
    </row>
    <row r="6" spans="1:12" ht="18.600000000000001" customHeight="1" x14ac:dyDescent="0.25">
      <c r="A6" s="61" t="s">
        <v>457</v>
      </c>
      <c r="B6" s="51">
        <f>IFERROR(IF(INDEX(Scorecard!$N$5:$N$12,MATCH($L$4,Scorecard!$A$5:$A$12,0))="","",INDEX(Scorecard!$N$5:$N$12,MATCH($L$4,Scorecard!$A$5:$A$12,0))),"")</f>
        <v>0</v>
      </c>
      <c r="C6" s="62" t="str">
        <f>IF(F6="","",REPT("■",MIN(6,ROUND(MAX(0,F6)*1,0))))</f>
        <v/>
      </c>
      <c r="D6" s="63" t="str">
        <f>IF(F6="","",REPT("■",MIN(6,ROUND(MAX(0,-F6)*1,0))))</f>
        <v/>
      </c>
      <c r="E6" s="51">
        <f>IFERROR(IF(INDEX(Scorecard!$N$5:$N$12,MATCH($L$5,Scorecard!$A$5:$A$12,0))="","",INDEX(Scorecard!$N$5:$N$12,MATCH($L$5,Scorecard!$A$5:$A$12,0))),"")</f>
        <v>0</v>
      </c>
      <c r="F6" s="64">
        <f t="shared" si="0"/>
        <v>0</v>
      </c>
      <c r="G6" s="53" t="str">
        <f t="shared" si="1"/>
        <v>LEVEL</v>
      </c>
      <c r="H6" s="65" t="str">
        <f t="shared" si="2"/>
        <v>—</v>
      </c>
      <c r="I6" s="66" t="s">
        <v>458</v>
      </c>
      <c r="J6" s="7"/>
      <c r="K6" s="59" t="s">
        <v>323</v>
      </c>
      <c r="L6" s="53" t="str">
        <f>L4&amp;L5</f>
        <v>USDGBP</v>
      </c>
    </row>
    <row r="7" spans="1:12" ht="18.600000000000001" customHeight="1" x14ac:dyDescent="0.25">
      <c r="A7" s="61" t="s">
        <v>459</v>
      </c>
      <c r="B7" s="51">
        <f>IFERROR(IF(INDEX(Scorecard!$O$5:$O$12,MATCH($L$4,Scorecard!$A$5:$A$12,0))="","",INDEX(Scorecard!$O$5:$O$12,MATCH($L$4,Scorecard!$A$5:$A$12,0))),"")</f>
        <v>1</v>
      </c>
      <c r="C7" s="62" t="str">
        <f>IF(F7="","",REPT("■",MIN(6,ROUND(MAX(0,F7)*1,0))))</f>
        <v/>
      </c>
      <c r="D7" s="63" t="str">
        <f>IF(F7="","",REPT("■",MIN(6,ROUND(MAX(0,-F7)*1,0))))</f>
        <v/>
      </c>
      <c r="E7" s="51">
        <f>IFERROR(IF(INDEX(Scorecard!$O$5:$O$12,MATCH($L$5,Scorecard!$A$5:$A$12,0))="","",INDEX(Scorecard!$O$5:$O$12,MATCH($L$5,Scorecard!$A$5:$A$12,0))),"")</f>
        <v>1</v>
      </c>
      <c r="F7" s="64">
        <f t="shared" si="0"/>
        <v>0</v>
      </c>
      <c r="G7" s="53" t="str">
        <f t="shared" si="1"/>
        <v>LEVEL</v>
      </c>
      <c r="H7" s="65" t="str">
        <f t="shared" si="2"/>
        <v>—</v>
      </c>
      <c r="I7" s="66" t="s">
        <v>394</v>
      </c>
      <c r="J7" s="7"/>
      <c r="K7" s="59" t="s">
        <v>460</v>
      </c>
      <c r="L7" s="53" t="str">
        <f>IFERROR(IF(OR(INDEX(Scorecard!$Q$5:$Q$12,MATCH($L$4,Scorecard!$A$5:$A$12,0))="",INDEX(Scorecard!$Q$5:$Q$12,MATCH($L$5,Scorecard!$A$5:$A$12,0))=""),"ENTER DATA",IF(INDEX(Scorecard!$Q$5:$Q$12,MATCH($L$4,Scorecard!$A$5:$A$12,0))-INDEX(Scorecard!$Q$5:$Q$12,MATCH($L$5,Scorecard!$A$5:$A$12,0))&gt;=Guide!$B$26,"LONG",IF(INDEX(Scorecard!$Q$5:$Q$12,MATCH($L$4,Scorecard!$A$5:$A$12,0))-INDEX(Scorecard!$Q$5:$Q$12,MATCH($L$5,Scorecard!$A$5:$A$12,0))&lt;=-Guide!$B$26,"SHORT","FLAT"))),"PICK CURRENCIES")</f>
        <v>FLAT</v>
      </c>
    </row>
    <row r="8" spans="1:12" ht="18.600000000000001" customHeight="1" x14ac:dyDescent="0.25">
      <c r="A8" s="61" t="s">
        <v>461</v>
      </c>
      <c r="B8" s="51">
        <f>IFERROR(IF(INDEX(Scorecard!$P$5:$P$12,MATCH($L$4,Scorecard!$A$5:$A$12,0))="","",INDEX(Scorecard!$P$5:$P$12,MATCH($L$4,Scorecard!$A$5:$A$12,0))),"")</f>
        <v>0</v>
      </c>
      <c r="C8" s="62" t="str">
        <f>IF(F8="","",REPT("■",MIN(6,ROUND(MAX(0,F8)*1,0))))</f>
        <v/>
      </c>
      <c r="D8" s="63" t="str">
        <f>IF(F8="","",REPT("■",MIN(6,ROUND(MAX(0,-F8)*1,0))))</f>
        <v/>
      </c>
      <c r="E8" s="51">
        <f>IFERROR(IF(INDEX(Scorecard!$P$5:$P$12,MATCH($L$5,Scorecard!$A$5:$A$12,0))="","",INDEX(Scorecard!$P$5:$P$12,MATCH($L$5,Scorecard!$A$5:$A$12,0))),"")</f>
        <v>0</v>
      </c>
      <c r="F8" s="64">
        <f t="shared" si="0"/>
        <v>0</v>
      </c>
      <c r="G8" s="53" t="str">
        <f t="shared" si="1"/>
        <v>LEVEL</v>
      </c>
      <c r="H8" s="65" t="str">
        <f t="shared" si="2"/>
        <v>—</v>
      </c>
      <c r="I8" s="66" t="s">
        <v>462</v>
      </c>
      <c r="J8" s="7"/>
      <c r="K8" s="59" t="s">
        <v>463</v>
      </c>
      <c r="L8" s="49" t="str">
        <f>IFERROR(INDEX(Bias!$M$5:$M$8,MATCH(L6,Bias!$A$5:$A$8,0)),"not on board")</f>
        <v>not on board</v>
      </c>
    </row>
    <row r="9" spans="1:12" ht="18.600000000000001" customHeight="1" x14ac:dyDescent="0.25">
      <c r="A9" s="61" t="s">
        <v>397</v>
      </c>
      <c r="B9" s="67">
        <f>IFERROR(IF(INDEX(Scorecard!$K$5:$K$12,MATCH($L$4,Scorecard!$A$5:$A$12,0))="","",INDEX(Scorecard!$K$5:$K$12,MATCH($L$4,Scorecard!$A$5:$A$12,0))),"")</f>
        <v>4.75</v>
      </c>
      <c r="C9" s="62" t="str">
        <f>IF(F9="","",REPT("■",MIN(6,ROUND(MAX(0,F9)*2,0))))</f>
        <v/>
      </c>
      <c r="D9" s="63" t="str">
        <f>IF(F9="","",REPT("■",MIN(6,ROUND(MAX(0,-F9)*2,0))))</f>
        <v/>
      </c>
      <c r="E9" s="67">
        <f>IFERROR(IF(INDEX(Scorecard!$K$5:$K$12,MATCH($L$5,Scorecard!$A$5:$A$12,0))="","",INDEX(Scorecard!$K$5:$K$12,MATCH($L$5,Scorecard!$A$5:$A$12,0))),"")</f>
        <v>4.8499999999999996</v>
      </c>
      <c r="F9" s="68">
        <f t="shared" si="0"/>
        <v>-9.9999999999999645E-2</v>
      </c>
      <c r="G9" s="53" t="str">
        <f t="shared" si="1"/>
        <v>LEVEL</v>
      </c>
      <c r="H9" s="65" t="str">
        <f t="shared" si="2"/>
        <v>—</v>
      </c>
      <c r="I9" s="66" t="s">
        <v>464</v>
      </c>
      <c r="J9" s="7"/>
      <c r="K9" s="59" t="s">
        <v>465</v>
      </c>
      <c r="L9" s="53" t="str">
        <f>IF(L7="LONG",L4,IF(L7="SHORT",L5,""))</f>
        <v/>
      </c>
    </row>
    <row r="10" spans="1:12" ht="18.600000000000001" customHeight="1" x14ac:dyDescent="0.25">
      <c r="A10" s="61" t="s">
        <v>466</v>
      </c>
      <c r="B10" s="67">
        <f>IFERROR(IF(OR(INDEX(Scorecard!$K$5:$K$12,MATCH($L$4,Scorecard!$A$5:$A$12,0))="",INDEX(Scorecard!$E$5:$E$12,MATCH($L$4,Scorecard!$A$5:$A$12,0))=""),"",INDEX(Scorecard!$K$5:$K$12,MATCH($L$4,Scorecard!$A$5:$A$12,0))-INDEX(Scorecard!$E$5:$E$12,MATCH($L$4,Scorecard!$A$5:$A$12,0))),"")</f>
        <v>2.1800000000000002</v>
      </c>
      <c r="C10" s="62" t="str">
        <f>IF(F10="","",REPT("■",MIN(6,ROUND(MAX(0,F10)*2,0))))</f>
        <v/>
      </c>
      <c r="D10" s="63" t="str">
        <f>IF(F10="","",REPT("■",MIN(6,ROUND(MAX(0,-F10)*2,0))))</f>
        <v/>
      </c>
      <c r="E10" s="67">
        <f>IFERROR(IF(OR(INDEX(Scorecard!$K$5:$K$12,MATCH($L$5,Scorecard!$A$5:$A$12,0))="",INDEX(Scorecard!$E$5:$E$12,MATCH($L$5,Scorecard!$A$5:$A$12,0))=""),"",INDEX(Scorecard!$K$5:$K$12,MATCH($L$5,Scorecard!$A$5:$A$12,0))-INDEX(Scorecard!$E$5:$E$12,MATCH($L$5,Scorecard!$A$5:$A$12,0))),"")</f>
        <v>2.2499999999999996</v>
      </c>
      <c r="F10" s="68">
        <f t="shared" si="0"/>
        <v>-6.9999999999999396E-2</v>
      </c>
      <c r="G10" s="53" t="str">
        <f t="shared" si="1"/>
        <v>LEVEL</v>
      </c>
      <c r="H10" s="65" t="str">
        <f t="shared" si="2"/>
        <v>—</v>
      </c>
      <c r="I10" s="66" t="s">
        <v>467</v>
      </c>
      <c r="J10" s="7"/>
      <c r="K10" s="7"/>
      <c r="L10" s="7"/>
    </row>
    <row r="11" spans="1:12" ht="18.600000000000001" customHeight="1" x14ac:dyDescent="0.25">
      <c r="A11" s="61" t="s">
        <v>377</v>
      </c>
      <c r="B11" s="67">
        <f>IFERROR(IF(INDEX(Scorecard!$C$5:$C$12,MATCH($L$4,Scorecard!$A$5:$A$12,0))="","",INDEX(Scorecard!$C$5:$C$12,MATCH($L$4,Scorecard!$A$5:$A$12,0))),"")</f>
        <v>4</v>
      </c>
      <c r="C11" s="62" t="str">
        <f>IF(F11="","",REPT("■",MIN(6,ROUND(MAX(0,F11)*2,0))))</f>
        <v>■</v>
      </c>
      <c r="D11" s="63" t="str">
        <f>IF(F11="","",REPT("■",MIN(6,ROUND(MAX(0,-F11)*2,0))))</f>
        <v/>
      </c>
      <c r="E11" s="67">
        <f>IFERROR(IF(INDEX(Scorecard!$C$5:$C$12,MATCH($L$5,Scorecard!$A$5:$A$12,0))="","",INDEX(Scorecard!$C$5:$C$12,MATCH($L$5,Scorecard!$A$5:$A$12,0))),"")</f>
        <v>3.75</v>
      </c>
      <c r="F11" s="68">
        <f t="shared" si="0"/>
        <v>0.25</v>
      </c>
      <c r="G11" s="53" t="str">
        <f t="shared" si="1"/>
        <v>USD</v>
      </c>
      <c r="H11" s="65" t="str">
        <f t="shared" si="2"/>
        <v>—</v>
      </c>
      <c r="I11" s="66" t="s">
        <v>468</v>
      </c>
      <c r="J11" s="7"/>
      <c r="K11" s="7"/>
      <c r="L11" s="7"/>
    </row>
    <row r="12" spans="1:12" ht="18.600000000000001" customHeight="1" x14ac:dyDescent="0.25">
      <c r="A12" s="69" t="s">
        <v>469</v>
      </c>
      <c r="B12" s="70">
        <f>IFERROR(IF(INDEX(Scorecard!$Q$5:$Q$12,MATCH($L$4,Scorecard!$A$5:$A$12,0))="","",INDEX(Scorecard!$Q$5:$Q$12,MATCH($L$4,Scorecard!$A$5:$A$12,0))),"")</f>
        <v>2</v>
      </c>
      <c r="C12" s="71"/>
      <c r="D12" s="71"/>
      <c r="E12" s="70">
        <f>IFERROR(IF(INDEX(Scorecard!$Q$5:$Q$12,MATCH($L$5,Scorecard!$A$5:$A$12,0))="","",INDEX(Scorecard!$Q$5:$Q$12,MATCH($L$5,Scorecard!$A$5:$A$12,0))),"")</f>
        <v>2</v>
      </c>
      <c r="F12" s="70">
        <f t="shared" si="0"/>
        <v>0</v>
      </c>
      <c r="G12" s="71"/>
      <c r="H12" s="71"/>
      <c r="I12" s="72"/>
      <c r="J12" s="7"/>
      <c r="K12" s="7"/>
      <c r="L12" s="7"/>
    </row>
    <row r="13" spans="1:12" x14ac:dyDescent="0.25">
      <c r="A13" s="7"/>
      <c r="B13" s="7"/>
      <c r="C13" s="7"/>
      <c r="D13" s="7"/>
      <c r="E13" s="7"/>
      <c r="F13" s="7"/>
      <c r="G13" s="7"/>
      <c r="H13" s="7"/>
      <c r="I13" s="7"/>
      <c r="J13" s="7"/>
      <c r="K13" s="7"/>
      <c r="L13" s="7"/>
    </row>
    <row r="14" spans="1:12" ht="24" customHeight="1" x14ac:dyDescent="0.25">
      <c r="A14" s="5" t="s">
        <v>470</v>
      </c>
      <c r="B14" s="6"/>
      <c r="C14" s="6"/>
      <c r="D14" s="6"/>
      <c r="E14" s="6"/>
      <c r="F14" s="6"/>
      <c r="G14" s="6"/>
      <c r="H14" s="6"/>
      <c r="I14" s="6"/>
      <c r="J14" s="7"/>
      <c r="K14" s="7"/>
      <c r="L14" s="7"/>
    </row>
    <row r="15" spans="1:12" ht="18" customHeight="1" x14ac:dyDescent="0.25">
      <c r="A15" s="308" t="s">
        <v>471</v>
      </c>
      <c r="B15" s="273"/>
      <c r="C15" s="273"/>
      <c r="D15" s="273"/>
      <c r="E15" s="273"/>
      <c r="F15" s="273"/>
      <c r="G15" s="273"/>
      <c r="H15" s="273"/>
      <c r="I15" s="273"/>
      <c r="J15" s="7"/>
      <c r="K15" s="7"/>
      <c r="L15" s="7"/>
    </row>
    <row r="16" spans="1:12" ht="30" customHeight="1" x14ac:dyDescent="0.25">
      <c r="A16" s="73" t="s">
        <v>472</v>
      </c>
      <c r="B16" s="311" t="str">
        <f>L4&amp;" wins "&amp;COUNTIF(G5:G11,L4)&amp;" of 7, "&amp;L5&amp;" wins "&amp;COUNTIF(G5:G11,L5)&amp;", level on "&amp;COUNTIF(G5:G11,"LEVEL")</f>
        <v>USD wins 1 of 7, GBP wins 0, level on 6</v>
      </c>
      <c r="C16" s="285"/>
      <c r="D16" s="285"/>
      <c r="E16" s="285"/>
      <c r="F16" s="285"/>
      <c r="G16" s="285"/>
      <c r="H16" s="285"/>
      <c r="I16" s="280"/>
      <c r="J16" s="7"/>
      <c r="K16" s="7"/>
      <c r="L16" s="7"/>
    </row>
    <row r="17" spans="1:12" ht="30.75" customHeight="1" x14ac:dyDescent="0.25">
      <c r="A17" s="73" t="s">
        <v>473</v>
      </c>
      <c r="B17" s="311" t="str">
        <f>IF(L9="","No directional call — use as comparison only",IF(COUNTIF(H5:H11,"BACKS THE CALL")&gt;=5,"STRONG — evidence backs the call",IF(COUNTIF(H5:H11,"BACKS THE CALL")&gt;COUNTIF(H5:H11,"AGAINST"),"MODERATE — more for than against","WEAK — evidence does not back the call")))</f>
        <v>No directional call — use as comparison only</v>
      </c>
      <c r="C17" s="285"/>
      <c r="D17" s="285"/>
      <c r="E17" s="285"/>
      <c r="F17" s="285"/>
      <c r="G17" s="285"/>
      <c r="H17" s="285"/>
      <c r="I17" s="280"/>
      <c r="J17" s="7"/>
      <c r="K17" s="7"/>
      <c r="L17" s="7"/>
    </row>
    <row r="18" spans="1:12" ht="31.5" customHeight="1" x14ac:dyDescent="0.25">
      <c r="A18" s="73" t="s">
        <v>474</v>
      </c>
      <c r="B18" s="309" t="str">
        <f>IF(MAX(F5:F8)&gt;0,INDEX(A5:A8,MATCH(MAX(F5:F8),F5:F8,0))&amp;"  (gap +"&amp;MAX(F5:F8)&amp;")","None in the four scores")</f>
        <v>None in the four scores</v>
      </c>
      <c r="C18" s="285"/>
      <c r="D18" s="285"/>
      <c r="E18" s="285"/>
      <c r="F18" s="285"/>
      <c r="G18" s="285"/>
      <c r="H18" s="285"/>
      <c r="I18" s="280"/>
      <c r="J18" s="7"/>
      <c r="K18" s="7"/>
      <c r="L18" s="7"/>
    </row>
    <row r="19" spans="1:12" ht="30" customHeight="1" x14ac:dyDescent="0.25">
      <c r="A19" s="73" t="s">
        <v>475</v>
      </c>
      <c r="B19" s="309" t="str">
        <f>IF(MIN(F5:F8)&lt;0,INDEX(A5:A8,MATCH(MIN(F5:F8),F5:F8,0))&amp;"  (gap "&amp;MIN(F5:F8)&amp;")","None in the four scores")</f>
        <v>None in the four scores</v>
      </c>
      <c r="C19" s="285"/>
      <c r="D19" s="285"/>
      <c r="E19" s="285"/>
      <c r="F19" s="285"/>
      <c r="G19" s="285"/>
      <c r="H19" s="285"/>
      <c r="I19" s="280"/>
      <c r="J19" s="7"/>
      <c r="K19" s="7"/>
      <c r="L19" s="7"/>
    </row>
    <row r="20" spans="1:12" ht="29.25" customHeight="1" x14ac:dyDescent="0.25">
      <c r="A20" s="73" t="s">
        <v>476</v>
      </c>
      <c r="B20" s="310" t="s">
        <v>477</v>
      </c>
      <c r="C20" s="285"/>
      <c r="D20" s="285"/>
      <c r="E20" s="285"/>
      <c r="F20" s="285"/>
      <c r="G20" s="285"/>
      <c r="H20" s="285"/>
      <c r="I20" s="280"/>
      <c r="J20" s="7"/>
      <c r="K20" s="7"/>
      <c r="L20" s="7"/>
    </row>
    <row r="21" spans="1:12" ht="37.5" customHeight="1" x14ac:dyDescent="0.25">
      <c r="A21" s="73" t="s">
        <v>478</v>
      </c>
      <c r="B21" s="310" t="s">
        <v>479</v>
      </c>
      <c r="C21" s="285"/>
      <c r="D21" s="285"/>
      <c r="E21" s="285"/>
      <c r="F21" s="285"/>
      <c r="G21" s="285"/>
      <c r="H21" s="285"/>
      <c r="I21" s="280"/>
      <c r="J21" s="7"/>
      <c r="K21" s="7"/>
      <c r="L21" s="7"/>
    </row>
    <row r="22" spans="1:12" ht="22.5" customHeight="1" x14ac:dyDescent="0.25"/>
    <row r="23" spans="1:12" ht="22.5" customHeight="1" x14ac:dyDescent="0.25"/>
    <row r="24" spans="1:12" ht="36" customHeight="1" x14ac:dyDescent="0.25"/>
    <row r="25" spans="1:12" ht="33" customHeight="1" x14ac:dyDescent="0.25"/>
    <row r="26" spans="1:12" ht="27" customHeight="1" x14ac:dyDescent="0.25"/>
    <row r="27" spans="1:12" ht="50.25" customHeight="1" x14ac:dyDescent="0.25"/>
  </sheetData>
  <mergeCells count="7">
    <mergeCell ref="A15:I15"/>
    <mergeCell ref="B18:I18"/>
    <mergeCell ref="B21:I21"/>
    <mergeCell ref="B16:I16"/>
    <mergeCell ref="B20:I20"/>
    <mergeCell ref="B19:I19"/>
    <mergeCell ref="B17:I17"/>
  </mergeCells>
  <conditionalFormatting sqref="B4">
    <cfRule type="expression" dxfId="116" priority="13" stopIfTrue="1">
      <formula>$B$4="USD"</formula>
    </cfRule>
    <cfRule type="expression" dxfId="115" priority="13" stopIfTrue="1">
      <formula>$B$4="EUR"</formula>
    </cfRule>
    <cfRule type="expression" dxfId="114" priority="13" stopIfTrue="1">
      <formula>$B$4="GBP"</formula>
    </cfRule>
    <cfRule type="expression" dxfId="113" priority="15" stopIfTrue="1">
      <formula>$B$4="JPY"</formula>
    </cfRule>
    <cfRule type="expression" dxfId="112" priority="17" stopIfTrue="1">
      <formula>$B$4="AUD"</formula>
    </cfRule>
    <cfRule type="expression" dxfId="111" priority="19" stopIfTrue="1">
      <formula>$B$4="NZD"</formula>
    </cfRule>
    <cfRule type="expression" dxfId="110" priority="21" stopIfTrue="1">
      <formula>$B$4="CAD"</formula>
    </cfRule>
    <cfRule type="expression" dxfId="109" priority="23" stopIfTrue="1">
      <formula>$B$4="CHF"</formula>
    </cfRule>
    <cfRule type="expression" dxfId="108" priority="25" stopIfTrue="1">
      <formula>$B$4="CNY"</formula>
    </cfRule>
    <cfRule type="expression" dxfId="107" priority="27" stopIfTrue="1">
      <formula>$B$4="XAU"</formula>
    </cfRule>
  </conditionalFormatting>
  <conditionalFormatting sqref="B17">
    <cfRule type="expression" dxfId="106" priority="10">
      <formula>ISNUMBER(SEARCH("STRONG",B17))</formula>
    </cfRule>
    <cfRule type="expression" dxfId="105" priority="11">
      <formula>ISNUMBER(SEARCH("MODERATE",B17))</formula>
    </cfRule>
    <cfRule type="expression" dxfId="104" priority="12">
      <formula>ISNUMBER(SEARCH("WEAK",B17))</formula>
    </cfRule>
  </conditionalFormatting>
  <conditionalFormatting sqref="E4">
    <cfRule type="expression" dxfId="103" priority="14" stopIfTrue="1">
      <formula>$E$4="GBP"</formula>
    </cfRule>
    <cfRule type="expression" dxfId="102" priority="16" stopIfTrue="1">
      <formula>$E$4="JPY"</formula>
    </cfRule>
    <cfRule type="expression" dxfId="101" priority="18" stopIfTrue="1">
      <formula>$E$4="AUD"</formula>
    </cfRule>
    <cfRule type="expression" dxfId="100" priority="20" stopIfTrue="1">
      <formula>$E$4="NZD"</formula>
    </cfRule>
    <cfRule type="expression" dxfId="99" priority="22" stopIfTrue="1">
      <formula>$E$4="CAD"</formula>
    </cfRule>
    <cfRule type="expression" dxfId="98" priority="24" stopIfTrue="1">
      <formula>$E$4="CHF"</formula>
    </cfRule>
    <cfRule type="expression" dxfId="97" priority="26" stopIfTrue="1">
      <formula>$E$4="CNY"</formula>
    </cfRule>
    <cfRule type="expression" dxfId="96" priority="28" stopIfTrue="1">
      <formula>$E$4="USD"</formula>
    </cfRule>
    <cfRule type="expression" dxfId="95" priority="28" stopIfTrue="1">
      <formula>$E$4="EUR"</formula>
    </cfRule>
    <cfRule type="expression" dxfId="94" priority="28" stopIfTrue="1">
      <formula>$E$4="XAU"</formula>
    </cfRule>
  </conditionalFormatting>
  <conditionalFormatting sqref="H5:H11">
    <cfRule type="expression" dxfId="93" priority="8">
      <formula>ISNUMBER(SEARCH("BACKS",H5))</formula>
    </cfRule>
    <cfRule type="expression" dxfId="92" priority="9">
      <formula>ISNUMBER(SEARCH("AGAINST",H5))</formula>
    </cfRule>
  </conditionalFormatting>
  <conditionalFormatting sqref="L7:L8">
    <cfRule type="expression" dxfId="91" priority="2">
      <formula>ISNUMBER(SEARCH("LONG",L7))</formula>
    </cfRule>
    <cfRule type="expression" dxfId="90" priority="3">
      <formula>ISNUMBER(SEARCH("SHORT",L7))</formula>
    </cfRule>
    <cfRule type="expression" dxfId="89" priority="4">
      <formula>ISNUMBER(SEARCH("FLAT",L7))</formula>
    </cfRule>
  </conditionalFormatting>
  <hyperlinks>
    <hyperlink ref="L1" location="'Guide'!A1" display="← Guide" xr:uid="{00000000-0004-0000-0400-000000000000}"/>
  </hyperlinks>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pageSetUpPr fitToPage="1"/>
  </sheetPr>
  <dimension ref="A1:M304"/>
  <sheetViews>
    <sheetView showGridLines="0" workbookViewId="0">
      <pane ySplit="4" topLeftCell="A5" activePane="bottomLeft" state="frozen"/>
      <selection pane="bottomLeft" activeCell="Q10" sqref="Q10"/>
    </sheetView>
  </sheetViews>
  <sheetFormatPr defaultRowHeight="15" x14ac:dyDescent="0.25"/>
  <cols>
    <col min="1" max="1" width="15" customWidth="1"/>
    <col min="2" max="2" width="11" customWidth="1"/>
    <col min="3" max="3" width="7" customWidth="1"/>
    <col min="4" max="4" width="10" customWidth="1"/>
    <col min="5" max="5" width="18" customWidth="1"/>
    <col min="6" max="6" width="63.7109375" customWidth="1"/>
    <col min="7" max="9" width="11" customWidth="1"/>
    <col min="10" max="10" width="68.85546875" customWidth="1"/>
    <col min="11" max="11" width="7" customWidth="1"/>
    <col min="12" max="12" width="16" customWidth="1"/>
    <col min="13" max="13" width="13" customWidth="1"/>
  </cols>
  <sheetData>
    <row r="1" spans="1:13" ht="33.950000000000003" customHeight="1" x14ac:dyDescent="0.25">
      <c r="A1" s="312" t="s">
        <v>480</v>
      </c>
      <c r="B1" s="273"/>
      <c r="C1" s="273"/>
      <c r="D1" s="273"/>
      <c r="E1" s="273"/>
      <c r="F1" s="273"/>
      <c r="G1" s="273"/>
      <c r="H1" s="273"/>
      <c r="I1" s="273"/>
      <c r="J1" s="273"/>
      <c r="K1" s="273"/>
      <c r="L1" s="125"/>
      <c r="M1" s="126" t="s">
        <v>1</v>
      </c>
    </row>
    <row r="2" spans="1:13" ht="20.100000000000001" customHeight="1" x14ac:dyDescent="0.25">
      <c r="A2" s="224" t="s">
        <v>481</v>
      </c>
      <c r="B2" s="224"/>
      <c r="C2" s="224"/>
      <c r="D2" s="224"/>
      <c r="E2" s="224"/>
      <c r="F2" s="224"/>
      <c r="G2" s="224"/>
      <c r="H2" s="224"/>
      <c r="I2" s="224"/>
      <c r="J2" s="224"/>
    </row>
    <row r="3" spans="1:13" ht="8.1" customHeight="1" x14ac:dyDescent="0.25"/>
    <row r="4" spans="1:13" ht="30" customHeight="1" x14ac:dyDescent="0.25">
      <c r="A4" s="128" t="s">
        <v>14</v>
      </c>
      <c r="B4" s="128" t="s">
        <v>482</v>
      </c>
      <c r="C4" s="128" t="s">
        <v>483</v>
      </c>
      <c r="D4" s="128" t="s">
        <v>484</v>
      </c>
      <c r="E4" s="128" t="s">
        <v>485</v>
      </c>
      <c r="F4" s="128" t="s">
        <v>486</v>
      </c>
      <c r="G4" s="128" t="s">
        <v>487</v>
      </c>
      <c r="H4" s="128" t="s">
        <v>488</v>
      </c>
      <c r="I4" s="128" t="s">
        <v>489</v>
      </c>
      <c r="J4" s="128" t="s">
        <v>490</v>
      </c>
      <c r="K4" s="128" t="s">
        <v>491</v>
      </c>
      <c r="L4" s="128" t="s">
        <v>74</v>
      </c>
      <c r="M4" s="128" t="s">
        <v>492</v>
      </c>
    </row>
    <row r="5" spans="1:13" ht="18" customHeight="1" x14ac:dyDescent="0.25">
      <c r="A5" s="132">
        <v>46286</v>
      </c>
      <c r="B5" s="133"/>
      <c r="C5" s="127" t="s">
        <v>294</v>
      </c>
      <c r="D5" s="127" t="s">
        <v>244</v>
      </c>
      <c r="E5" s="127" t="s">
        <v>244</v>
      </c>
      <c r="F5" s="130" t="s">
        <v>493</v>
      </c>
      <c r="G5" s="127"/>
      <c r="H5" s="127"/>
      <c r="I5" s="127"/>
      <c r="J5" s="130"/>
      <c r="K5" s="134">
        <f t="shared" ref="K5:K68" si="0">IF(A5="","",IF(D5="High",3,IF(OR(D5="Medium",D5="Holiday"),2,1)))</f>
        <v>2</v>
      </c>
      <c r="L5" s="135">
        <f t="shared" ref="L5:L68" si="1">IF(A5="","",A5+B5)</f>
        <v>46286</v>
      </c>
      <c r="M5" s="134" t="str">
        <f>IF(A5="","",IF(K5&gt;=Calendar!$AC$5,TEXT(A5,"yyyymmdd")&amp;"|"&amp;COUNTIFS($A$5:A5,A5,$K$5:K5,"&gt;="&amp;Calendar!$AC$5),""))</f>
        <v>20260921|1</v>
      </c>
    </row>
    <row r="6" spans="1:13" ht="18" customHeight="1" x14ac:dyDescent="0.25">
      <c r="A6" s="132">
        <v>46286</v>
      </c>
      <c r="B6" s="133">
        <v>0.70833333333333337</v>
      </c>
      <c r="C6" s="127" t="s">
        <v>283</v>
      </c>
      <c r="D6" s="127" t="s">
        <v>242</v>
      </c>
      <c r="E6" s="127" t="s">
        <v>494</v>
      </c>
      <c r="F6" s="130" t="s">
        <v>495</v>
      </c>
      <c r="G6" s="127"/>
      <c r="H6" s="127"/>
      <c r="I6" s="127"/>
      <c r="J6" s="130"/>
      <c r="K6" s="134">
        <f t="shared" si="0"/>
        <v>2</v>
      </c>
      <c r="L6" s="135">
        <f t="shared" si="1"/>
        <v>46286.708333333336</v>
      </c>
      <c r="M6" s="134" t="str">
        <f>IF(A6="","",IF(K6&gt;=Calendar!$AC$5,TEXT(A6,"yyyymmdd")&amp;"|"&amp;COUNTIFS($A$5:A6,A6,$K$5:K6,"&gt;="&amp;Calendar!$AC$5),""))</f>
        <v>20260921|2</v>
      </c>
    </row>
    <row r="7" spans="1:13" ht="18" customHeight="1" x14ac:dyDescent="0.25">
      <c r="A7" s="132">
        <v>46287</v>
      </c>
      <c r="B7" s="133"/>
      <c r="C7" s="127" t="s">
        <v>294</v>
      </c>
      <c r="D7" s="127" t="s">
        <v>244</v>
      </c>
      <c r="E7" s="127" t="s">
        <v>244</v>
      </c>
      <c r="F7" s="130" t="s">
        <v>493</v>
      </c>
      <c r="G7" s="127"/>
      <c r="H7" s="127"/>
      <c r="I7" s="127"/>
      <c r="J7" s="130"/>
      <c r="K7" s="134">
        <f t="shared" si="0"/>
        <v>2</v>
      </c>
      <c r="L7" s="135">
        <f t="shared" si="1"/>
        <v>46287</v>
      </c>
      <c r="M7" s="134" t="str">
        <f>IF(A7="","",IF(K7&gt;=Calendar!$AC$5,TEXT(A7,"yyyymmdd")&amp;"|"&amp;COUNTIFS($A$5:A7,A7,$K$5:K7,"&gt;="&amp;Calendar!$AC$5),""))</f>
        <v>20260922|1</v>
      </c>
    </row>
    <row r="8" spans="1:13" ht="18" customHeight="1" x14ac:dyDescent="0.25">
      <c r="A8" s="132">
        <v>46287</v>
      </c>
      <c r="B8" s="133">
        <v>0.21527777777777779</v>
      </c>
      <c r="C8" s="127" t="s">
        <v>300</v>
      </c>
      <c r="D8" s="127" t="s">
        <v>239</v>
      </c>
      <c r="E8" s="127" t="s">
        <v>494</v>
      </c>
      <c r="F8" s="130" t="s">
        <v>496</v>
      </c>
      <c r="G8" s="127"/>
      <c r="H8" s="127"/>
      <c r="I8" s="127"/>
      <c r="J8" s="130"/>
      <c r="K8" s="134">
        <f t="shared" si="0"/>
        <v>3</v>
      </c>
      <c r="L8" s="135">
        <f t="shared" si="1"/>
        <v>46287.215277777781</v>
      </c>
      <c r="M8" s="134" t="str">
        <f>IF(A8="","",IF(K8&gt;=Calendar!$AC$5,TEXT(A8,"yyyymmdd")&amp;"|"&amp;COUNTIFS($A$5:A8,A8,$K$5:K8,"&gt;="&amp;Calendar!$AC$5),""))</f>
        <v>20260922|2</v>
      </c>
    </row>
    <row r="9" spans="1:13" ht="18" customHeight="1" x14ac:dyDescent="0.25">
      <c r="A9" s="132">
        <v>46287</v>
      </c>
      <c r="B9" s="133">
        <v>0.54166666666666663</v>
      </c>
      <c r="C9" s="127" t="s">
        <v>283</v>
      </c>
      <c r="D9" s="127" t="s">
        <v>242</v>
      </c>
      <c r="E9" s="127" t="s">
        <v>494</v>
      </c>
      <c r="F9" s="130" t="s">
        <v>495</v>
      </c>
      <c r="G9" s="127"/>
      <c r="H9" s="127"/>
      <c r="I9" s="127"/>
      <c r="J9" s="130"/>
      <c r="K9" s="134">
        <f t="shared" si="0"/>
        <v>2</v>
      </c>
      <c r="L9" s="135">
        <f t="shared" si="1"/>
        <v>46287.541666666664</v>
      </c>
      <c r="M9" s="134" t="str">
        <f>IF(A9="","",IF(K9&gt;=Calendar!$AC$5,TEXT(A9,"yyyymmdd")&amp;"|"&amp;COUNTIFS($A$5:A9,A9,$K$5:K9,"&gt;="&amp;Calendar!$AC$5),""))</f>
        <v>20260922|3</v>
      </c>
    </row>
    <row r="10" spans="1:13" ht="18" customHeight="1" x14ac:dyDescent="0.25">
      <c r="A10" s="132">
        <v>46288</v>
      </c>
      <c r="B10" s="133"/>
      <c r="C10" s="127" t="s">
        <v>294</v>
      </c>
      <c r="D10" s="127" t="s">
        <v>244</v>
      </c>
      <c r="E10" s="127" t="s">
        <v>244</v>
      </c>
      <c r="F10" s="130" t="s">
        <v>493</v>
      </c>
      <c r="G10" s="127"/>
      <c r="H10" s="127"/>
      <c r="I10" s="127"/>
      <c r="J10" s="130"/>
      <c r="K10" s="134">
        <f t="shared" si="0"/>
        <v>2</v>
      </c>
      <c r="L10" s="135">
        <f t="shared" si="1"/>
        <v>46288</v>
      </c>
      <c r="M10" s="134" t="str">
        <f>IF(A10="","",IF(K10&gt;=Calendar!$AC$5,TEXT(A10,"yyyymmdd")&amp;"|"&amp;COUNTIFS($A$5:A10,A10,$K$5:K10,"&gt;="&amp;Calendar!$AC$5),""))</f>
        <v>20260923|1</v>
      </c>
    </row>
    <row r="11" spans="1:13" ht="18" customHeight="1" x14ac:dyDescent="0.25">
      <c r="A11" s="132">
        <v>46288</v>
      </c>
      <c r="B11" s="133">
        <v>0.38541666666666669</v>
      </c>
      <c r="C11" s="127" t="s">
        <v>283</v>
      </c>
      <c r="D11" s="127" t="s">
        <v>242</v>
      </c>
      <c r="E11" s="127" t="s">
        <v>497</v>
      </c>
      <c r="F11" s="130" t="s">
        <v>498</v>
      </c>
      <c r="G11" s="127" t="s">
        <v>499</v>
      </c>
      <c r="H11" s="127" t="s">
        <v>500</v>
      </c>
      <c r="I11" s="127"/>
      <c r="J11" s="130"/>
      <c r="K11" s="134">
        <f t="shared" si="0"/>
        <v>2</v>
      </c>
      <c r="L11" s="135">
        <f t="shared" si="1"/>
        <v>46288.385416666664</v>
      </c>
      <c r="M11" s="134" t="str">
        <f>IF(A11="","",IF(K11&gt;=Calendar!$AC$5,TEXT(A11,"yyyymmdd")&amp;"|"&amp;COUNTIFS($A$5:A11,A11,$K$5:K11,"&gt;="&amp;Calendar!$AC$5),""))</f>
        <v>20260923|2</v>
      </c>
    </row>
    <row r="12" spans="1:13" ht="18" customHeight="1" x14ac:dyDescent="0.25">
      <c r="A12" s="132">
        <v>46288</v>
      </c>
      <c r="B12" s="133">
        <v>0.38541666666666669</v>
      </c>
      <c r="C12" s="127" t="s">
        <v>283</v>
      </c>
      <c r="D12" s="127" t="s">
        <v>242</v>
      </c>
      <c r="E12" s="127" t="s">
        <v>497</v>
      </c>
      <c r="F12" s="130" t="s">
        <v>501</v>
      </c>
      <c r="G12" s="127" t="s">
        <v>502</v>
      </c>
      <c r="H12" s="127" t="s">
        <v>502</v>
      </c>
      <c r="I12" s="127"/>
      <c r="J12" s="130"/>
      <c r="K12" s="134">
        <f t="shared" si="0"/>
        <v>2</v>
      </c>
      <c r="L12" s="135">
        <f t="shared" si="1"/>
        <v>46288.385416666664</v>
      </c>
      <c r="M12" s="134" t="str">
        <f>IF(A12="","",IF(K12&gt;=Calendar!$AC$5,TEXT(A12,"yyyymmdd")&amp;"|"&amp;COUNTIFS($A$5:A12,A12,$K$5:K12,"&gt;="&amp;Calendar!$AC$5),""))</f>
        <v>20260923|3</v>
      </c>
    </row>
    <row r="13" spans="1:13" ht="18" customHeight="1" x14ac:dyDescent="0.25">
      <c r="A13" s="132">
        <v>46288</v>
      </c>
      <c r="B13" s="133">
        <v>0.39583333333333331</v>
      </c>
      <c r="C13" s="127" t="s">
        <v>283</v>
      </c>
      <c r="D13" s="127" t="s">
        <v>242</v>
      </c>
      <c r="E13" s="127" t="s">
        <v>497</v>
      </c>
      <c r="F13" s="130" t="s">
        <v>503</v>
      </c>
      <c r="G13" s="127" t="s">
        <v>504</v>
      </c>
      <c r="H13" s="127" t="s">
        <v>505</v>
      </c>
      <c r="I13" s="127"/>
      <c r="J13" s="130"/>
      <c r="K13" s="134">
        <f t="shared" si="0"/>
        <v>2</v>
      </c>
      <c r="L13" s="135">
        <f t="shared" si="1"/>
        <v>46288.395833333336</v>
      </c>
      <c r="M13" s="134" t="str">
        <f>IF(A13="","",IF(K13&gt;=Calendar!$AC$5,TEXT(A13,"yyyymmdd")&amp;"|"&amp;COUNTIFS($A$5:A13,A13,$K$5:K13,"&gt;="&amp;Calendar!$AC$5),""))</f>
        <v>20260923|4</v>
      </c>
    </row>
    <row r="14" spans="1:13" ht="18" customHeight="1" x14ac:dyDescent="0.25">
      <c r="A14" s="132">
        <v>46288</v>
      </c>
      <c r="B14" s="133">
        <v>0.39583333333333331</v>
      </c>
      <c r="C14" s="127" t="s">
        <v>283</v>
      </c>
      <c r="D14" s="127" t="s">
        <v>242</v>
      </c>
      <c r="E14" s="127" t="s">
        <v>497</v>
      </c>
      <c r="F14" s="130" t="s">
        <v>506</v>
      </c>
      <c r="G14" s="127" t="s">
        <v>507</v>
      </c>
      <c r="H14" s="127" t="s">
        <v>508</v>
      </c>
      <c r="I14" s="127"/>
      <c r="J14" s="130"/>
      <c r="K14" s="134">
        <f t="shared" si="0"/>
        <v>2</v>
      </c>
      <c r="L14" s="135">
        <f t="shared" si="1"/>
        <v>46288.395833333336</v>
      </c>
      <c r="M14" s="134" t="str">
        <f>IF(A14="","",IF(K14&gt;=Calendar!$AC$5,TEXT(A14,"yyyymmdd")&amp;"|"&amp;COUNTIFS($A$5:A14,A14,$K$5:K14,"&gt;="&amp;Calendar!$AC$5),""))</f>
        <v>20260923|5</v>
      </c>
    </row>
    <row r="15" spans="1:13" ht="18" customHeight="1" x14ac:dyDescent="0.25">
      <c r="A15" s="132">
        <v>46288</v>
      </c>
      <c r="B15" s="133">
        <v>0.4375</v>
      </c>
      <c r="C15" s="127" t="s">
        <v>289</v>
      </c>
      <c r="D15" s="127" t="s">
        <v>242</v>
      </c>
      <c r="E15" s="127" t="s">
        <v>497</v>
      </c>
      <c r="F15" s="130" t="s">
        <v>509</v>
      </c>
      <c r="G15" s="127" t="s">
        <v>510</v>
      </c>
      <c r="H15" s="127" t="s">
        <v>500</v>
      </c>
      <c r="I15" s="127"/>
      <c r="J15" s="130"/>
      <c r="K15" s="134">
        <f t="shared" si="0"/>
        <v>2</v>
      </c>
      <c r="L15" s="135">
        <f t="shared" si="1"/>
        <v>46288.4375</v>
      </c>
      <c r="M15" s="134" t="str">
        <f>IF(A15="","",IF(K15&gt;=Calendar!$AC$5,TEXT(A15,"yyyymmdd")&amp;"|"&amp;COUNTIFS($A$5:A15,A15,$K$5:K15,"&gt;="&amp;Calendar!$AC$5),""))</f>
        <v>20260923|6</v>
      </c>
    </row>
    <row r="16" spans="1:13" ht="18" customHeight="1" x14ac:dyDescent="0.25">
      <c r="A16" s="132">
        <v>46288</v>
      </c>
      <c r="B16" s="133">
        <v>0.4375</v>
      </c>
      <c r="C16" s="127" t="s">
        <v>289</v>
      </c>
      <c r="D16" s="127" t="s">
        <v>242</v>
      </c>
      <c r="E16" s="127" t="s">
        <v>497</v>
      </c>
      <c r="F16" s="130" t="s">
        <v>511</v>
      </c>
      <c r="G16" s="127" t="s">
        <v>512</v>
      </c>
      <c r="H16" s="127" t="s">
        <v>513</v>
      </c>
      <c r="I16" s="127"/>
      <c r="J16" s="130"/>
      <c r="K16" s="134">
        <f t="shared" si="0"/>
        <v>2</v>
      </c>
      <c r="L16" s="135">
        <f t="shared" si="1"/>
        <v>46288.4375</v>
      </c>
      <c r="M16" s="134" t="str">
        <f>IF(A16="","",IF(K16&gt;=Calendar!$AC$5,TEXT(A16,"yyyymmdd")&amp;"|"&amp;COUNTIFS($A$5:A16,A16,$K$5:K16,"&gt;="&amp;Calendar!$AC$5),""))</f>
        <v>20260923|7</v>
      </c>
    </row>
    <row r="17" spans="1:13" ht="18" customHeight="1" x14ac:dyDescent="0.25">
      <c r="A17" s="132">
        <v>46289</v>
      </c>
      <c r="B17" s="133">
        <v>0.14583333333333329</v>
      </c>
      <c r="C17" s="127" t="s">
        <v>300</v>
      </c>
      <c r="D17" s="127" t="s">
        <v>239</v>
      </c>
      <c r="E17" s="127" t="s">
        <v>514</v>
      </c>
      <c r="F17" s="130" t="s">
        <v>515</v>
      </c>
      <c r="G17" s="127" t="s">
        <v>516</v>
      </c>
      <c r="H17" s="127" t="s">
        <v>517</v>
      </c>
      <c r="I17" s="127"/>
      <c r="J17" s="130"/>
      <c r="K17" s="134">
        <f t="shared" si="0"/>
        <v>3</v>
      </c>
      <c r="L17" s="135">
        <f t="shared" si="1"/>
        <v>46289.145833333336</v>
      </c>
      <c r="M17" s="134" t="str">
        <f>IF(A17="","",IF(K17&gt;=Calendar!$AC$5,TEXT(A17,"yyyymmdd")&amp;"|"&amp;COUNTIFS($A$5:A17,A17,$K$5:K17,"&gt;="&amp;Calendar!$AC$5),""))</f>
        <v>20260924|1</v>
      </c>
    </row>
    <row r="18" spans="1:13" ht="18" customHeight="1" x14ac:dyDescent="0.25">
      <c r="A18" s="132">
        <v>46289</v>
      </c>
      <c r="B18" s="133">
        <v>0.14583333333333329</v>
      </c>
      <c r="C18" s="127" t="s">
        <v>300</v>
      </c>
      <c r="D18" s="127" t="s">
        <v>239</v>
      </c>
      <c r="E18" s="127" t="s">
        <v>514</v>
      </c>
      <c r="F18" s="130" t="s">
        <v>518</v>
      </c>
      <c r="G18" s="127" t="s">
        <v>519</v>
      </c>
      <c r="H18" s="127" t="s">
        <v>519</v>
      </c>
      <c r="I18" s="127"/>
      <c r="J18" s="130"/>
      <c r="K18" s="134">
        <f t="shared" si="0"/>
        <v>3</v>
      </c>
      <c r="L18" s="135">
        <f t="shared" si="1"/>
        <v>46289.145833333336</v>
      </c>
      <c r="M18" s="134" t="str">
        <f>IF(A18="","",IF(K18&gt;=Calendar!$AC$5,TEXT(A18,"yyyymmdd")&amp;"|"&amp;COUNTIFS($A$5:A18,A18,$K$5:K18,"&gt;="&amp;Calendar!$AC$5),""))</f>
        <v>20260924|2</v>
      </c>
    </row>
    <row r="19" spans="1:13" ht="18" customHeight="1" x14ac:dyDescent="0.25">
      <c r="A19" s="132">
        <v>46289</v>
      </c>
      <c r="B19" s="133">
        <v>0.39583333333333331</v>
      </c>
      <c r="C19" s="127" t="s">
        <v>315</v>
      </c>
      <c r="D19" s="127" t="s">
        <v>239</v>
      </c>
      <c r="E19" s="127" t="s">
        <v>520</v>
      </c>
      <c r="F19" s="130" t="s">
        <v>521</v>
      </c>
      <c r="G19" s="127"/>
      <c r="H19" s="127"/>
      <c r="I19" s="127"/>
      <c r="J19" s="130"/>
      <c r="K19" s="134">
        <f t="shared" si="0"/>
        <v>3</v>
      </c>
      <c r="L19" s="135">
        <f t="shared" si="1"/>
        <v>46289.395833333336</v>
      </c>
      <c r="M19" s="134" t="str">
        <f>IF(A19="","",IF(K19&gt;=Calendar!$AC$5,TEXT(A19,"yyyymmdd")&amp;"|"&amp;COUNTIFS($A$5:A19,A19,$K$5:K19,"&gt;="&amp;Calendar!$AC$5),""))</f>
        <v>20260924|3</v>
      </c>
    </row>
    <row r="20" spans="1:13" ht="18" customHeight="1" x14ac:dyDescent="0.25">
      <c r="A20" s="132">
        <v>46289</v>
      </c>
      <c r="B20" s="133">
        <v>0.39583333333333331</v>
      </c>
      <c r="C20" s="127" t="s">
        <v>315</v>
      </c>
      <c r="D20" s="127" t="s">
        <v>239</v>
      </c>
      <c r="E20" s="127" t="s">
        <v>520</v>
      </c>
      <c r="F20" s="130" t="s">
        <v>522</v>
      </c>
      <c r="G20" s="127" t="s">
        <v>523</v>
      </c>
      <c r="H20" s="127" t="s">
        <v>523</v>
      </c>
      <c r="I20" s="127"/>
      <c r="J20" s="130"/>
      <c r="K20" s="134">
        <f t="shared" si="0"/>
        <v>3</v>
      </c>
      <c r="L20" s="135">
        <f t="shared" si="1"/>
        <v>46289.395833333336</v>
      </c>
      <c r="M20" s="134" t="str">
        <f>IF(A20="","",IF(K20&gt;=Calendar!$AC$5,TEXT(A20,"yyyymmdd")&amp;"|"&amp;COUNTIFS($A$5:A20,A20,$K$5:K20,"&gt;="&amp;Calendar!$AC$5),""))</f>
        <v>20260924|4</v>
      </c>
    </row>
    <row r="21" spans="1:13" ht="18" customHeight="1" x14ac:dyDescent="0.25">
      <c r="A21" s="132">
        <v>46289</v>
      </c>
      <c r="B21" s="133">
        <v>0.41666666666666669</v>
      </c>
      <c r="C21" s="127" t="s">
        <v>315</v>
      </c>
      <c r="D21" s="127" t="s">
        <v>239</v>
      </c>
      <c r="E21" s="127" t="s">
        <v>520</v>
      </c>
      <c r="F21" s="130" t="s">
        <v>524</v>
      </c>
      <c r="G21" s="127"/>
      <c r="H21" s="127"/>
      <c r="I21" s="127"/>
      <c r="J21" s="130"/>
      <c r="K21" s="134">
        <f t="shared" si="0"/>
        <v>3</v>
      </c>
      <c r="L21" s="135">
        <f t="shared" si="1"/>
        <v>46289.416666666664</v>
      </c>
      <c r="M21" s="134" t="str">
        <f>IF(A21="","",IF(K21&gt;=Calendar!$AC$5,TEXT(A21,"yyyymmdd")&amp;"|"&amp;COUNTIFS($A$5:A21,A21,$K$5:K21,"&gt;="&amp;Calendar!$AC$5),""))</f>
        <v>20260924|5</v>
      </c>
    </row>
    <row r="22" spans="1:13" ht="18" customHeight="1" x14ac:dyDescent="0.25">
      <c r="A22" s="132">
        <v>46289</v>
      </c>
      <c r="B22" s="133">
        <v>0.60416666666666663</v>
      </c>
      <c r="C22" s="127" t="s">
        <v>276</v>
      </c>
      <c r="D22" s="127" t="s">
        <v>242</v>
      </c>
      <c r="E22" s="127" t="s">
        <v>514</v>
      </c>
      <c r="F22" s="130" t="s">
        <v>525</v>
      </c>
      <c r="G22" s="127" t="s">
        <v>526</v>
      </c>
      <c r="H22" s="127" t="s">
        <v>527</v>
      </c>
      <c r="I22" s="127"/>
      <c r="J22" s="130"/>
      <c r="K22" s="134">
        <f t="shared" si="0"/>
        <v>2</v>
      </c>
      <c r="L22" s="135">
        <f t="shared" si="1"/>
        <v>46289.604166666664</v>
      </c>
      <c r="M22" s="134" t="str">
        <f>IF(A22="","",IF(K22&gt;=Calendar!$AC$5,TEXT(A22,"yyyymmdd")&amp;"|"&amp;COUNTIFS($A$5:A22,A22,$K$5:K22,"&gt;="&amp;Calendar!$AC$5),""))</f>
        <v>20260924|6</v>
      </c>
    </row>
    <row r="23" spans="1:13" ht="18" customHeight="1" x14ac:dyDescent="0.25">
      <c r="A23" s="132">
        <v>46290</v>
      </c>
      <c r="B23" s="133">
        <v>0.46875</v>
      </c>
      <c r="C23" s="127" t="s">
        <v>289</v>
      </c>
      <c r="D23" s="127" t="s">
        <v>239</v>
      </c>
      <c r="E23" s="127" t="s">
        <v>494</v>
      </c>
      <c r="F23" s="130" t="s">
        <v>528</v>
      </c>
      <c r="G23" s="127"/>
      <c r="H23" s="127"/>
      <c r="I23" s="127"/>
      <c r="J23" s="130"/>
      <c r="K23" s="134">
        <f t="shared" si="0"/>
        <v>3</v>
      </c>
      <c r="L23" s="135">
        <f t="shared" si="1"/>
        <v>46290.46875</v>
      </c>
      <c r="M23" s="134" t="str">
        <f>IF(A23="","",IF(K23&gt;=Calendar!$AC$5,TEXT(A23,"yyyymmdd")&amp;"|"&amp;COUNTIFS($A$5:A23,A23,$K$5:K23,"&gt;="&amp;Calendar!$AC$5),""))</f>
        <v>20260925|1</v>
      </c>
    </row>
    <row r="24" spans="1:13" ht="18" customHeight="1" x14ac:dyDescent="0.25">
      <c r="A24" s="132">
        <v>46290</v>
      </c>
      <c r="B24" s="133">
        <v>0.66666666666666663</v>
      </c>
      <c r="C24" s="127" t="s">
        <v>276</v>
      </c>
      <c r="D24" s="127" t="s">
        <v>242</v>
      </c>
      <c r="E24" s="127" t="s">
        <v>497</v>
      </c>
      <c r="F24" s="130" t="s">
        <v>529</v>
      </c>
      <c r="G24" s="127" t="s">
        <v>530</v>
      </c>
      <c r="H24" s="127" t="s">
        <v>531</v>
      </c>
      <c r="I24" s="127"/>
      <c r="J24" s="130"/>
      <c r="K24" s="134">
        <f t="shared" si="0"/>
        <v>2</v>
      </c>
      <c r="L24" s="135">
        <f t="shared" si="1"/>
        <v>46290.666666666664</v>
      </c>
      <c r="M24" s="134" t="str">
        <f>IF(A24="","",IF(K24&gt;=Calendar!$AC$5,TEXT(A24,"yyyymmdd")&amp;"|"&amp;COUNTIFS($A$5:A24,A24,$K$5:K24,"&gt;="&amp;Calendar!$AC$5),""))</f>
        <v>20260925|2</v>
      </c>
    </row>
    <row r="25" spans="1:13" ht="18" customHeight="1" x14ac:dyDescent="0.25">
      <c r="A25" s="132">
        <v>46290</v>
      </c>
      <c r="B25" s="133">
        <v>0.66666666666666663</v>
      </c>
      <c r="C25" s="127" t="s">
        <v>276</v>
      </c>
      <c r="D25" s="127" t="s">
        <v>242</v>
      </c>
      <c r="E25" s="127" t="s">
        <v>532</v>
      </c>
      <c r="F25" s="130" t="s">
        <v>533</v>
      </c>
      <c r="G25" s="127"/>
      <c r="H25" s="127" t="s">
        <v>534</v>
      </c>
      <c r="I25" s="127"/>
      <c r="J25" s="130"/>
      <c r="K25" s="134">
        <f t="shared" si="0"/>
        <v>2</v>
      </c>
      <c r="L25" s="135">
        <f t="shared" si="1"/>
        <v>46290.666666666664</v>
      </c>
      <c r="M25" s="134" t="str">
        <f>IF(A25="","",IF(K25&gt;=Calendar!$AC$5,TEXT(A25,"yyyymmdd")&amp;"|"&amp;COUNTIFS($A$5:A25,A25,$K$5:K25,"&gt;="&amp;Calendar!$AC$5),""))</f>
        <v>20260925|3</v>
      </c>
    </row>
    <row r="26" spans="1:13" ht="30.75" customHeight="1" x14ac:dyDescent="0.25">
      <c r="A26" s="132">
        <v>46297</v>
      </c>
      <c r="B26" s="133">
        <v>0.60416666666666663</v>
      </c>
      <c r="C26" s="127" t="s">
        <v>276</v>
      </c>
      <c r="D26" s="127" t="s">
        <v>239</v>
      </c>
      <c r="E26" s="127" t="s">
        <v>514</v>
      </c>
      <c r="F26" s="130" t="s">
        <v>535</v>
      </c>
      <c r="G26" s="127"/>
      <c r="H26" s="127"/>
      <c r="I26" s="127" t="s">
        <v>536</v>
      </c>
      <c r="J26" s="130"/>
      <c r="K26" s="134">
        <f t="shared" si="0"/>
        <v>3</v>
      </c>
      <c r="L26" s="135">
        <f t="shared" si="1"/>
        <v>46297.604166666664</v>
      </c>
      <c r="M26" s="134" t="str">
        <f>IF(A26="","",IF(K26&gt;=Calendar!$AC$5,TEXT(A26,"yyyymmdd")&amp;"|"&amp;COUNTIFS($A$5:A26,A26,$K$5:K26,"&gt;="&amp;Calendar!$AC$5),""))</f>
        <v>20261002|1</v>
      </c>
    </row>
    <row r="27" spans="1:13" ht="18" customHeight="1" x14ac:dyDescent="0.25">
      <c r="A27" s="132">
        <v>46307</v>
      </c>
      <c r="B27" s="133"/>
      <c r="C27" s="127" t="s">
        <v>294</v>
      </c>
      <c r="D27" s="127" t="s">
        <v>244</v>
      </c>
      <c r="E27" s="127" t="s">
        <v>244</v>
      </c>
      <c r="F27" s="130" t="s">
        <v>493</v>
      </c>
      <c r="G27" s="127"/>
      <c r="H27" s="127"/>
      <c r="I27" s="127"/>
      <c r="J27" s="130"/>
      <c r="K27" s="134">
        <f t="shared" si="0"/>
        <v>2</v>
      </c>
      <c r="L27" s="135">
        <f t="shared" si="1"/>
        <v>46307</v>
      </c>
      <c r="M27" s="134" t="str">
        <f>IF(A27="","",IF(K27&gt;=Calendar!$AC$5,TEXT(A27,"yyyymmdd")&amp;"|"&amp;COUNTIFS($A$5:A27,A27,$K$5:K27,"&gt;="&amp;Calendar!$AC$5),""))</f>
        <v>20261012|1</v>
      </c>
    </row>
    <row r="28" spans="1:13" ht="18" customHeight="1" x14ac:dyDescent="0.25">
      <c r="A28" s="132">
        <v>46307</v>
      </c>
      <c r="B28" s="133"/>
      <c r="C28" s="127" t="s">
        <v>276</v>
      </c>
      <c r="D28" s="127" t="s">
        <v>244</v>
      </c>
      <c r="E28" s="127" t="s">
        <v>244</v>
      </c>
      <c r="F28" s="130" t="s">
        <v>493</v>
      </c>
      <c r="G28" s="127"/>
      <c r="H28" s="127"/>
      <c r="I28" s="127"/>
      <c r="J28" s="130"/>
      <c r="K28" s="134">
        <f t="shared" si="0"/>
        <v>2</v>
      </c>
      <c r="L28" s="135">
        <f t="shared" si="1"/>
        <v>46307</v>
      </c>
      <c r="M28" s="134" t="str">
        <f>IF(A28="","",IF(K28&gt;=Calendar!$AC$5,TEXT(A28,"yyyymmdd")&amp;"|"&amp;COUNTIFS($A$5:A28,A28,$K$5:K28,"&gt;="&amp;Calendar!$AC$5),""))</f>
        <v>20261012|2</v>
      </c>
    </row>
    <row r="29" spans="1:13" ht="18" customHeight="1" x14ac:dyDescent="0.25">
      <c r="A29" s="132">
        <v>46309</v>
      </c>
      <c r="B29" s="133">
        <v>0.1736111111111111</v>
      </c>
      <c r="C29" s="127" t="s">
        <v>283</v>
      </c>
      <c r="D29" s="127" t="s">
        <v>242</v>
      </c>
      <c r="E29" s="127" t="s">
        <v>494</v>
      </c>
      <c r="F29" s="130" t="s">
        <v>495</v>
      </c>
      <c r="G29" s="127"/>
      <c r="H29" s="127"/>
      <c r="I29" s="127"/>
      <c r="J29" s="130"/>
      <c r="K29" s="134">
        <f t="shared" si="0"/>
        <v>2</v>
      </c>
      <c r="L29" s="135">
        <f t="shared" si="1"/>
        <v>46309.173611111109</v>
      </c>
      <c r="M29" s="134" t="str">
        <f>IF(A29="","",IF(K29&gt;=Calendar!$AC$5,TEXT(A29,"yyyymmdd")&amp;"|"&amp;COUNTIFS($A$5:A29,A29,$K$5:K29,"&gt;="&amp;Calendar!$AC$5),""))</f>
        <v>20261014|1</v>
      </c>
    </row>
    <row r="30" spans="1:13" ht="18" customHeight="1" x14ac:dyDescent="0.25">
      <c r="A30" s="132">
        <v>46309</v>
      </c>
      <c r="B30" s="133">
        <v>0.3125</v>
      </c>
      <c r="C30" s="127" t="s">
        <v>289</v>
      </c>
      <c r="D30" s="127" t="s">
        <v>242</v>
      </c>
      <c r="E30" s="127" t="s">
        <v>494</v>
      </c>
      <c r="F30" s="130" t="s">
        <v>528</v>
      </c>
      <c r="G30" s="127"/>
      <c r="H30" s="127"/>
      <c r="I30" s="127"/>
      <c r="J30" s="130"/>
      <c r="K30" s="134">
        <f t="shared" si="0"/>
        <v>2</v>
      </c>
      <c r="L30" s="135">
        <f t="shared" si="1"/>
        <v>46309.3125</v>
      </c>
      <c r="M30" s="134" t="str">
        <f>IF(A30="","",IF(K30&gt;=Calendar!$AC$5,TEXT(A30,"yyyymmdd")&amp;"|"&amp;COUNTIFS($A$5:A30,A30,$K$5:K30,"&gt;="&amp;Calendar!$AC$5),""))</f>
        <v>20261014|2</v>
      </c>
    </row>
    <row r="31" spans="1:13" ht="18" customHeight="1" x14ac:dyDescent="0.25">
      <c r="A31" s="132">
        <v>46309</v>
      </c>
      <c r="B31" s="133">
        <v>0.4375</v>
      </c>
      <c r="C31" s="127" t="s">
        <v>283</v>
      </c>
      <c r="D31" s="127" t="s">
        <v>242</v>
      </c>
      <c r="E31" s="127" t="s">
        <v>494</v>
      </c>
      <c r="F31" s="130" t="s">
        <v>495</v>
      </c>
      <c r="G31" s="127"/>
      <c r="H31" s="127"/>
      <c r="I31" s="127"/>
      <c r="J31" s="130"/>
      <c r="K31" s="134">
        <f t="shared" si="0"/>
        <v>2</v>
      </c>
      <c r="L31" s="135">
        <f t="shared" si="1"/>
        <v>46309.4375</v>
      </c>
      <c r="M31" s="134" t="str">
        <f>IF(A31="","",IF(K31&gt;=Calendar!$AC$5,TEXT(A31,"yyyymmdd")&amp;"|"&amp;COUNTIFS($A$5:A31,A31,$K$5:K31,"&gt;="&amp;Calendar!$AC$5),""))</f>
        <v>20261014|3</v>
      </c>
    </row>
    <row r="32" spans="1:13" ht="18" customHeight="1" x14ac:dyDescent="0.25">
      <c r="A32" s="132">
        <v>46309</v>
      </c>
      <c r="B32" s="133">
        <v>0.51041666666666663</v>
      </c>
      <c r="C32" s="127" t="s">
        <v>283</v>
      </c>
      <c r="D32" s="127" t="s">
        <v>242</v>
      </c>
      <c r="E32" s="127" t="s">
        <v>537</v>
      </c>
      <c r="F32" s="130" t="s">
        <v>538</v>
      </c>
      <c r="G32" s="127"/>
      <c r="H32" s="127"/>
      <c r="I32" s="127"/>
      <c r="J32" s="130"/>
      <c r="K32" s="134">
        <f t="shared" si="0"/>
        <v>2</v>
      </c>
      <c r="L32" s="135">
        <f t="shared" si="1"/>
        <v>46309.510416666664</v>
      </c>
      <c r="M32" s="134" t="str">
        <f>IF(A32="","",IF(K32&gt;=Calendar!$AC$5,TEXT(A32,"yyyymmdd")&amp;"|"&amp;COUNTIFS($A$5:A32,A32,$K$5:K32,"&gt;="&amp;Calendar!$AC$5),""))</f>
        <v>20261014|4</v>
      </c>
    </row>
    <row r="33" spans="1:13" ht="18" customHeight="1" x14ac:dyDescent="0.25">
      <c r="A33" s="132">
        <v>46309</v>
      </c>
      <c r="B33" s="133">
        <v>0.60416666666666663</v>
      </c>
      <c r="C33" s="127" t="s">
        <v>276</v>
      </c>
      <c r="D33" s="127" t="s">
        <v>239</v>
      </c>
      <c r="E33" s="127" t="s">
        <v>532</v>
      </c>
      <c r="F33" s="130" t="s">
        <v>539</v>
      </c>
      <c r="G33" s="127" t="s">
        <v>540</v>
      </c>
      <c r="H33" s="127" t="s">
        <v>541</v>
      </c>
      <c r="I33" s="127"/>
      <c r="J33" s="130"/>
      <c r="K33" s="134">
        <f t="shared" si="0"/>
        <v>3</v>
      </c>
      <c r="L33" s="135">
        <f t="shared" si="1"/>
        <v>46309.604166666664</v>
      </c>
      <c r="M33" s="134" t="str">
        <f>IF(A33="","",IF(K33&gt;=Calendar!$AC$5,TEXT(A33,"yyyymmdd")&amp;"|"&amp;COUNTIFS($A$5:A33,A33,$K$5:K33,"&gt;="&amp;Calendar!$AC$5),""))</f>
        <v>20261014|5</v>
      </c>
    </row>
    <row r="34" spans="1:13" ht="18" customHeight="1" x14ac:dyDescent="0.25">
      <c r="A34" s="132">
        <v>46309</v>
      </c>
      <c r="B34" s="133">
        <v>0.60416666666666663</v>
      </c>
      <c r="C34" s="127" t="s">
        <v>276</v>
      </c>
      <c r="D34" s="127" t="s">
        <v>239</v>
      </c>
      <c r="E34" s="127" t="s">
        <v>532</v>
      </c>
      <c r="F34" s="130" t="s">
        <v>542</v>
      </c>
      <c r="G34" s="127" t="s">
        <v>543</v>
      </c>
      <c r="H34" s="127" t="s">
        <v>544</v>
      </c>
      <c r="I34" s="127" t="s">
        <v>545</v>
      </c>
      <c r="J34" s="130"/>
      <c r="K34" s="134">
        <f t="shared" si="0"/>
        <v>3</v>
      </c>
      <c r="L34" s="135">
        <f t="shared" si="1"/>
        <v>46309.604166666664</v>
      </c>
      <c r="M34" s="134" t="str">
        <f>IF(A34="","",IF(K34&gt;=Calendar!$AC$5,TEXT(A34,"yyyymmdd")&amp;"|"&amp;COUNTIFS($A$5:A34,A34,$K$5:K34,"&gt;="&amp;Calendar!$AC$5),""))</f>
        <v>20261014|6</v>
      </c>
    </row>
    <row r="35" spans="1:13" ht="18" customHeight="1" x14ac:dyDescent="0.25">
      <c r="A35" s="132">
        <v>46309</v>
      </c>
      <c r="B35" s="133">
        <v>0.60416666666666663</v>
      </c>
      <c r="C35" s="127" t="s">
        <v>276</v>
      </c>
      <c r="D35" s="127" t="s">
        <v>239</v>
      </c>
      <c r="E35" s="127" t="s">
        <v>532</v>
      </c>
      <c r="F35" s="130" t="s">
        <v>546</v>
      </c>
      <c r="G35" s="127" t="s">
        <v>547</v>
      </c>
      <c r="H35" s="127" t="s">
        <v>548</v>
      </c>
      <c r="I35" s="127"/>
      <c r="J35" s="130"/>
      <c r="K35" s="134">
        <f t="shared" si="0"/>
        <v>3</v>
      </c>
      <c r="L35" s="135">
        <f t="shared" si="1"/>
        <v>46309.604166666664</v>
      </c>
      <c r="M35" s="134" t="str">
        <f>IF(A35="","",IF(K35&gt;=Calendar!$AC$5,TEXT(A35,"yyyymmdd")&amp;"|"&amp;COUNTIFS($A$5:A35,A35,$K$5:K35,"&gt;="&amp;Calendar!$AC$5),""))</f>
        <v>20261014|7</v>
      </c>
    </row>
    <row r="36" spans="1:13" ht="18" customHeight="1" x14ac:dyDescent="0.25">
      <c r="A36" s="132">
        <v>46309</v>
      </c>
      <c r="B36" s="133">
        <v>0.60416666666666663</v>
      </c>
      <c r="C36" s="127" t="s">
        <v>276</v>
      </c>
      <c r="D36" s="127" t="s">
        <v>239</v>
      </c>
      <c r="E36" s="127" t="s">
        <v>532</v>
      </c>
      <c r="F36" s="130" t="s">
        <v>549</v>
      </c>
      <c r="G36" s="127" t="s">
        <v>550</v>
      </c>
      <c r="H36" s="127" t="s">
        <v>551</v>
      </c>
      <c r="I36" s="127" t="s">
        <v>552</v>
      </c>
      <c r="J36" s="130"/>
      <c r="K36" s="134">
        <f t="shared" si="0"/>
        <v>3</v>
      </c>
      <c r="L36" s="135">
        <f t="shared" si="1"/>
        <v>46309.604166666664</v>
      </c>
      <c r="M36" s="134" t="str">
        <f>IF(A36="","",IF(K36&gt;=Calendar!$AC$5,TEXT(A36,"yyyymmdd")&amp;"|"&amp;COUNTIFS($A$5:A36,A36,$K$5:K36,"&gt;="&amp;Calendar!$AC$5),""))</f>
        <v>20261014|8</v>
      </c>
    </row>
    <row r="37" spans="1:13" ht="18" customHeight="1" x14ac:dyDescent="0.25">
      <c r="A37" s="132">
        <v>46310</v>
      </c>
      <c r="B37" s="133">
        <v>0.1041666666666667</v>
      </c>
      <c r="C37" s="127" t="s">
        <v>300</v>
      </c>
      <c r="D37" s="127" t="s">
        <v>239</v>
      </c>
      <c r="E37" s="127" t="s">
        <v>514</v>
      </c>
      <c r="F37" s="130" t="s">
        <v>515</v>
      </c>
      <c r="G37" s="127" t="s">
        <v>553</v>
      </c>
      <c r="H37" s="127" t="s">
        <v>554</v>
      </c>
      <c r="I37" s="127"/>
      <c r="J37" s="130"/>
      <c r="K37" s="134">
        <f t="shared" si="0"/>
        <v>3</v>
      </c>
      <c r="L37" s="135">
        <f t="shared" si="1"/>
        <v>46310.104166666664</v>
      </c>
      <c r="M37" s="134" t="str">
        <f>IF(A37="","",IF(K37&gt;=Calendar!$AC$5,TEXT(A37,"yyyymmdd")&amp;"|"&amp;COUNTIFS($A$5:A37,A37,$K$5:K37,"&gt;="&amp;Calendar!$AC$5),""))</f>
        <v>20261015|1</v>
      </c>
    </row>
    <row r="38" spans="1:13" ht="18" customHeight="1" x14ac:dyDescent="0.25">
      <c r="A38" s="132">
        <v>46310</v>
      </c>
      <c r="B38" s="133">
        <v>0.1041666666666667</v>
      </c>
      <c r="C38" s="127" t="s">
        <v>300</v>
      </c>
      <c r="D38" s="127" t="s">
        <v>239</v>
      </c>
      <c r="E38" s="127" t="s">
        <v>514</v>
      </c>
      <c r="F38" s="130" t="s">
        <v>518</v>
      </c>
      <c r="G38" s="127" t="s">
        <v>534</v>
      </c>
      <c r="H38" s="127" t="s">
        <v>534</v>
      </c>
      <c r="I38" s="127"/>
      <c r="J38" s="130"/>
      <c r="K38" s="134">
        <f t="shared" si="0"/>
        <v>3</v>
      </c>
      <c r="L38" s="135">
        <f t="shared" si="1"/>
        <v>46310.104166666664</v>
      </c>
      <c r="M38" s="134" t="str">
        <f>IF(A38="","",IF(K38&gt;=Calendar!$AC$5,TEXT(A38,"yyyymmdd")&amp;"|"&amp;COUNTIFS($A$5:A38,A38,$K$5:K38,"&gt;="&amp;Calendar!$AC$5),""))</f>
        <v>20261015|2</v>
      </c>
    </row>
    <row r="39" spans="1:13" ht="18" customHeight="1" x14ac:dyDescent="0.25">
      <c r="A39" s="132">
        <v>46310</v>
      </c>
      <c r="B39" s="133">
        <v>0.33333333333333331</v>
      </c>
      <c r="C39" s="127" t="s">
        <v>289</v>
      </c>
      <c r="D39" s="127" t="s">
        <v>239</v>
      </c>
      <c r="E39" s="127" t="s">
        <v>497</v>
      </c>
      <c r="F39" s="130" t="s">
        <v>555</v>
      </c>
      <c r="G39" s="127" t="s">
        <v>556</v>
      </c>
      <c r="H39" s="127" t="s">
        <v>548</v>
      </c>
      <c r="I39" s="127"/>
      <c r="J39" s="130"/>
      <c r="K39" s="134">
        <f t="shared" si="0"/>
        <v>3</v>
      </c>
      <c r="L39" s="135">
        <f t="shared" si="1"/>
        <v>46310.333333333336</v>
      </c>
      <c r="M39" s="134" t="str">
        <f>IF(A39="","",IF(K39&gt;=Calendar!$AC$5,TEXT(A39,"yyyymmdd")&amp;"|"&amp;COUNTIFS($A$5:A39,A39,$K$5:K39,"&gt;="&amp;Calendar!$AC$5),""))</f>
        <v>20261015|3</v>
      </c>
    </row>
    <row r="40" spans="1:13" ht="18" customHeight="1" x14ac:dyDescent="0.25">
      <c r="A40" s="132">
        <v>46310</v>
      </c>
      <c r="B40" s="133">
        <v>0.39583333333333331</v>
      </c>
      <c r="C40" s="127" t="s">
        <v>289</v>
      </c>
      <c r="D40" s="127" t="s">
        <v>242</v>
      </c>
      <c r="E40" s="127" t="s">
        <v>494</v>
      </c>
      <c r="F40" s="130" t="s">
        <v>528</v>
      </c>
      <c r="G40" s="127"/>
      <c r="H40" s="127"/>
      <c r="I40" s="127"/>
      <c r="J40" s="130"/>
      <c r="K40" s="134">
        <f t="shared" si="0"/>
        <v>2</v>
      </c>
      <c r="L40" s="135">
        <f t="shared" si="1"/>
        <v>46310.395833333336</v>
      </c>
      <c r="M40" s="134" t="str">
        <f>IF(A40="","",IF(K40&gt;=Calendar!$AC$5,TEXT(A40,"yyyymmdd")&amp;"|"&amp;COUNTIFS($A$5:A40,A40,$K$5:K40,"&gt;="&amp;Calendar!$AC$5),""))</f>
        <v>20261015|4</v>
      </c>
    </row>
    <row r="41" spans="1:13" ht="18" customHeight="1" x14ac:dyDescent="0.25">
      <c r="A41" s="132">
        <v>46310</v>
      </c>
      <c r="B41" s="133">
        <v>0.51041666666666663</v>
      </c>
      <c r="C41" s="127" t="s">
        <v>283</v>
      </c>
      <c r="D41" s="127" t="s">
        <v>242</v>
      </c>
      <c r="E41" s="127" t="s">
        <v>537</v>
      </c>
      <c r="F41" s="130" t="s">
        <v>538</v>
      </c>
      <c r="G41" s="127"/>
      <c r="H41" s="127"/>
      <c r="I41" s="127"/>
      <c r="J41" s="130"/>
      <c r="K41" s="134">
        <f t="shared" si="0"/>
        <v>2</v>
      </c>
      <c r="L41" s="135">
        <f t="shared" si="1"/>
        <v>46310.510416666664</v>
      </c>
      <c r="M41" s="134" t="str">
        <f>IF(A41="","",IF(K41&gt;=Calendar!$AC$5,TEXT(A41,"yyyymmdd")&amp;"|"&amp;COUNTIFS($A$5:A41,A41,$K$5:K41,"&gt;="&amp;Calendar!$AC$5),""))</f>
        <v>20261015|5</v>
      </c>
    </row>
    <row r="42" spans="1:13" ht="18" customHeight="1" x14ac:dyDescent="0.25">
      <c r="A42" s="132">
        <v>46310</v>
      </c>
      <c r="B42" s="133">
        <v>0.60416666666666663</v>
      </c>
      <c r="C42" s="127" t="s">
        <v>276</v>
      </c>
      <c r="D42" s="127" t="s">
        <v>239</v>
      </c>
      <c r="E42" s="127" t="s">
        <v>532</v>
      </c>
      <c r="F42" s="130" t="s">
        <v>557</v>
      </c>
      <c r="G42" s="127" t="s">
        <v>541</v>
      </c>
      <c r="H42" s="127" t="s">
        <v>540</v>
      </c>
      <c r="I42" s="127"/>
      <c r="J42" s="130"/>
      <c r="K42" s="134">
        <f t="shared" si="0"/>
        <v>3</v>
      </c>
      <c r="L42" s="135">
        <f t="shared" si="1"/>
        <v>46310.604166666664</v>
      </c>
      <c r="M42" s="134" t="str">
        <f>IF(A42="","",IF(K42&gt;=Calendar!$AC$5,TEXT(A42,"yyyymmdd")&amp;"|"&amp;COUNTIFS($A$5:A42,A42,$K$5:K42,"&gt;="&amp;Calendar!$AC$5),""))</f>
        <v>20261015|6</v>
      </c>
    </row>
    <row r="43" spans="1:13" ht="18" customHeight="1" x14ac:dyDescent="0.25">
      <c r="A43" s="132">
        <v>46310</v>
      </c>
      <c r="B43" s="133">
        <v>0.60416666666666663</v>
      </c>
      <c r="C43" s="127" t="s">
        <v>276</v>
      </c>
      <c r="D43" s="127" t="s">
        <v>239</v>
      </c>
      <c r="E43" s="127" t="s">
        <v>497</v>
      </c>
      <c r="F43" s="130" t="s">
        <v>558</v>
      </c>
      <c r="G43" s="127" t="s">
        <v>547</v>
      </c>
      <c r="H43" s="127" t="s">
        <v>559</v>
      </c>
      <c r="I43" s="127"/>
      <c r="J43" s="130"/>
      <c r="K43" s="134">
        <f t="shared" si="0"/>
        <v>3</v>
      </c>
      <c r="L43" s="135">
        <f t="shared" si="1"/>
        <v>46310.604166666664</v>
      </c>
      <c r="M43" s="134" t="str">
        <f>IF(A43="","",IF(K43&gt;=Calendar!$AC$5,TEXT(A43,"yyyymmdd")&amp;"|"&amp;COUNTIFS($A$5:A43,A43,$K$5:K43,"&gt;="&amp;Calendar!$AC$5),""))</f>
        <v>20261015|7</v>
      </c>
    </row>
    <row r="44" spans="1:13" ht="18" customHeight="1" x14ac:dyDescent="0.25">
      <c r="A44" s="132">
        <v>46310</v>
      </c>
      <c r="B44" s="133">
        <v>0.60416666666666663</v>
      </c>
      <c r="C44" s="127" t="s">
        <v>276</v>
      </c>
      <c r="D44" s="127" t="s">
        <v>239</v>
      </c>
      <c r="E44" s="127" t="s">
        <v>532</v>
      </c>
      <c r="F44" s="130" t="s">
        <v>560</v>
      </c>
      <c r="G44" s="127" t="s">
        <v>547</v>
      </c>
      <c r="H44" s="127" t="s">
        <v>548</v>
      </c>
      <c r="I44" s="127"/>
      <c r="J44" s="130"/>
      <c r="K44" s="134">
        <f t="shared" si="0"/>
        <v>3</v>
      </c>
      <c r="L44" s="135">
        <f t="shared" si="1"/>
        <v>46310.604166666664</v>
      </c>
      <c r="M44" s="134" t="str">
        <f>IF(A44="","",IF(K44&gt;=Calendar!$AC$5,TEXT(A44,"yyyymmdd")&amp;"|"&amp;COUNTIFS($A$5:A44,A44,$K$5:K44,"&gt;="&amp;Calendar!$AC$5),""))</f>
        <v>20261015|8</v>
      </c>
    </row>
    <row r="45" spans="1:13" ht="18" customHeight="1" x14ac:dyDescent="0.25">
      <c r="A45" s="132">
        <v>46310</v>
      </c>
      <c r="B45" s="133">
        <v>0.60416666666666663</v>
      </c>
      <c r="C45" s="127" t="s">
        <v>276</v>
      </c>
      <c r="D45" s="127" t="s">
        <v>239</v>
      </c>
      <c r="E45" s="127" t="s">
        <v>497</v>
      </c>
      <c r="F45" s="130" t="s">
        <v>561</v>
      </c>
      <c r="G45" s="127" t="s">
        <v>541</v>
      </c>
      <c r="H45" s="127" t="s">
        <v>562</v>
      </c>
      <c r="I45" s="127"/>
      <c r="J45" s="130"/>
      <c r="K45" s="134">
        <f t="shared" si="0"/>
        <v>3</v>
      </c>
      <c r="L45" s="135">
        <f t="shared" si="1"/>
        <v>46310.604166666664</v>
      </c>
      <c r="M45" s="134" t="str">
        <f>IF(A45="","",IF(K45&gt;=Calendar!$AC$5,TEXT(A45,"yyyymmdd")&amp;"|"&amp;COUNTIFS($A$5:A45,A45,$K$5:K45,"&gt;="&amp;Calendar!$AC$5),""))</f>
        <v>20261015|9</v>
      </c>
    </row>
    <row r="46" spans="1:13" ht="18" customHeight="1" x14ac:dyDescent="0.25">
      <c r="A46" s="132">
        <v>46310</v>
      </c>
      <c r="B46" s="133">
        <v>0.60416666666666663</v>
      </c>
      <c r="C46" s="127" t="s">
        <v>276</v>
      </c>
      <c r="D46" s="127" t="s">
        <v>242</v>
      </c>
      <c r="E46" s="127" t="s">
        <v>497</v>
      </c>
      <c r="F46" s="130" t="s">
        <v>563</v>
      </c>
      <c r="G46" s="127" t="s">
        <v>564</v>
      </c>
      <c r="H46" s="127" t="s">
        <v>565</v>
      </c>
      <c r="I46" s="127"/>
      <c r="J46" s="130"/>
      <c r="K46" s="134">
        <f t="shared" si="0"/>
        <v>2</v>
      </c>
      <c r="L46" s="135">
        <f t="shared" si="1"/>
        <v>46310.604166666664</v>
      </c>
      <c r="M46" s="134" t="str">
        <f>IF(A46="","",IF(K46&gt;=Calendar!$AC$5,TEXT(A46,"yyyymmdd")&amp;"|"&amp;COUNTIFS($A$5:A46,A46,$K$5:K46,"&gt;="&amp;Calendar!$AC$5),""))</f>
        <v>20261015|10</v>
      </c>
    </row>
    <row r="47" spans="1:13" ht="18" customHeight="1" x14ac:dyDescent="0.25">
      <c r="A47" s="132">
        <v>46310</v>
      </c>
      <c r="B47" s="133">
        <v>0.60416666666666663</v>
      </c>
      <c r="C47" s="127" t="s">
        <v>276</v>
      </c>
      <c r="D47" s="127" t="s">
        <v>242</v>
      </c>
      <c r="E47" s="127" t="s">
        <v>514</v>
      </c>
      <c r="F47" s="130" t="s">
        <v>525</v>
      </c>
      <c r="G47" s="127" t="s">
        <v>566</v>
      </c>
      <c r="H47" s="127" t="s">
        <v>567</v>
      </c>
      <c r="I47" s="127"/>
      <c r="J47" s="130"/>
      <c r="K47" s="134">
        <f t="shared" si="0"/>
        <v>2</v>
      </c>
      <c r="L47" s="135">
        <f t="shared" si="1"/>
        <v>46310.604166666664</v>
      </c>
      <c r="M47" s="134" t="str">
        <f>IF(A47="","",IF(K47&gt;=Calendar!$AC$5,TEXT(A47,"yyyymmdd")&amp;"|"&amp;COUNTIFS($A$5:A47,A47,$K$5:K47,"&gt;="&amp;Calendar!$AC$5),""))</f>
        <v>20261015|11</v>
      </c>
    </row>
    <row r="48" spans="1:13" ht="18" customHeight="1" x14ac:dyDescent="0.25">
      <c r="A48" s="132">
        <v>46311</v>
      </c>
      <c r="B48" s="133">
        <v>0.16666666666666671</v>
      </c>
      <c r="C48" s="127" t="s">
        <v>289</v>
      </c>
      <c r="D48" s="127" t="s">
        <v>239</v>
      </c>
      <c r="E48" s="127" t="s">
        <v>494</v>
      </c>
      <c r="F48" s="130" t="s">
        <v>528</v>
      </c>
      <c r="G48" s="127"/>
      <c r="H48" s="127"/>
      <c r="I48" s="127"/>
      <c r="J48" s="130"/>
      <c r="K48" s="134">
        <f t="shared" si="0"/>
        <v>3</v>
      </c>
      <c r="L48" s="135">
        <f t="shared" si="1"/>
        <v>46311.166666666664</v>
      </c>
      <c r="M48" s="134" t="str">
        <f>IF(A48="","",IF(K48&gt;=Calendar!$AC$5,TEXT(A48,"yyyymmdd")&amp;"|"&amp;COUNTIFS($A$5:A48,A48,$K$5:K48,"&gt;="&amp;Calendar!$AC$5),""))</f>
        <v>20261016|1</v>
      </c>
    </row>
    <row r="49" spans="1:13" ht="18" customHeight="1" x14ac:dyDescent="0.25">
      <c r="A49" s="132">
        <v>46311</v>
      </c>
      <c r="B49" s="133">
        <v>0.22916666666666671</v>
      </c>
      <c r="C49" s="127" t="s">
        <v>276</v>
      </c>
      <c r="D49" s="127" t="s">
        <v>239</v>
      </c>
      <c r="E49" s="127" t="s">
        <v>494</v>
      </c>
      <c r="F49" s="130" t="s">
        <v>568</v>
      </c>
      <c r="G49" s="127"/>
      <c r="H49" s="127"/>
      <c r="I49" s="127"/>
      <c r="J49" s="130"/>
      <c r="K49" s="134">
        <f t="shared" si="0"/>
        <v>3</v>
      </c>
      <c r="L49" s="135">
        <f t="shared" si="1"/>
        <v>46311.229166666664</v>
      </c>
      <c r="M49" s="134" t="str">
        <f>IF(A49="","",IF(K49&gt;=Calendar!$AC$5,TEXT(A49,"yyyymmdd")&amp;"|"&amp;COUNTIFS($A$5:A49,A49,$K$5:K49,"&gt;="&amp;Calendar!$AC$5),""))</f>
        <v>20261016|2</v>
      </c>
    </row>
    <row r="50" spans="1:13" ht="18" customHeight="1" x14ac:dyDescent="0.25">
      <c r="A50" s="132">
        <v>46312</v>
      </c>
      <c r="B50" s="133">
        <v>0.36458333333333331</v>
      </c>
      <c r="C50" s="127" t="s">
        <v>289</v>
      </c>
      <c r="D50" s="127" t="s">
        <v>242</v>
      </c>
      <c r="E50" s="127" t="s">
        <v>494</v>
      </c>
      <c r="F50" s="130" t="s">
        <v>528</v>
      </c>
      <c r="G50" s="127"/>
      <c r="H50" s="127"/>
      <c r="I50" s="127"/>
      <c r="J50" s="130"/>
      <c r="K50" s="134">
        <f t="shared" si="0"/>
        <v>2</v>
      </c>
      <c r="L50" s="135">
        <f t="shared" si="1"/>
        <v>46312.364583333336</v>
      </c>
      <c r="M50" s="134" t="str">
        <f>IF(A50="","",IF(K50&gt;=Calendar!$AC$5,TEXT(A50,"yyyymmdd")&amp;"|"&amp;COUNTIFS($A$5:A50,A50,$K$5:K50,"&gt;="&amp;Calendar!$AC$5),""))</f>
        <v>20261017|1</v>
      </c>
    </row>
    <row r="51" spans="1:13" ht="18" customHeight="1" x14ac:dyDescent="0.25">
      <c r="A51" s="132">
        <v>46323</v>
      </c>
      <c r="B51" s="133">
        <v>0.79166666666666663</v>
      </c>
      <c r="C51" s="127" t="s">
        <v>276</v>
      </c>
      <c r="D51" s="127" t="s">
        <v>239</v>
      </c>
      <c r="E51" s="127" t="s">
        <v>520</v>
      </c>
      <c r="F51" s="130" t="s">
        <v>569</v>
      </c>
      <c r="G51" s="127"/>
      <c r="H51" s="127"/>
      <c r="I51" s="127"/>
      <c r="J51" s="130"/>
      <c r="K51" s="134">
        <f t="shared" si="0"/>
        <v>3</v>
      </c>
      <c r="L51" s="135">
        <f t="shared" si="1"/>
        <v>46323.791666666664</v>
      </c>
      <c r="M51" s="134" t="str">
        <f>IF(A51="","",IF(K51&gt;=Calendar!$AC$5,TEXT(A51,"yyyymmdd")&amp;"|"&amp;COUNTIFS($A$5:A51,A51,$K$5:K51,"&gt;="&amp;Calendar!$AC$5),""))</f>
        <v>20261028|1</v>
      </c>
    </row>
    <row r="52" spans="1:13" ht="18" customHeight="1" x14ac:dyDescent="0.25">
      <c r="A52" s="132">
        <v>46324</v>
      </c>
      <c r="B52" s="133">
        <v>0.59375</v>
      </c>
      <c r="C52" s="127" t="s">
        <v>283</v>
      </c>
      <c r="D52" s="127" t="s">
        <v>239</v>
      </c>
      <c r="E52" s="127" t="s">
        <v>520</v>
      </c>
      <c r="F52" s="130" t="s">
        <v>570</v>
      </c>
      <c r="G52" s="127"/>
      <c r="H52" s="127"/>
      <c r="I52" s="127"/>
      <c r="J52" s="130"/>
      <c r="K52" s="134">
        <f t="shared" si="0"/>
        <v>3</v>
      </c>
      <c r="L52" s="135">
        <f t="shared" si="1"/>
        <v>46324.59375</v>
      </c>
      <c r="M52" s="134" t="str">
        <f>IF(A52="","",IF(K52&gt;=Calendar!$AC$5,TEXT(A52,"yyyymmdd")&amp;"|"&amp;COUNTIFS($A$5:A52,A52,$K$5:K52,"&gt;="&amp;Calendar!$AC$5),""))</f>
        <v>20261029|1</v>
      </c>
    </row>
    <row r="53" spans="1:13" ht="18" customHeight="1" x14ac:dyDescent="0.25">
      <c r="A53" s="132">
        <v>46325</v>
      </c>
      <c r="B53" s="133">
        <v>0.16666666666666671</v>
      </c>
      <c r="C53" s="127" t="s">
        <v>294</v>
      </c>
      <c r="D53" s="127" t="s">
        <v>239</v>
      </c>
      <c r="E53" s="127" t="s">
        <v>520</v>
      </c>
      <c r="F53" s="130" t="s">
        <v>571</v>
      </c>
      <c r="G53" s="127"/>
      <c r="H53" s="127"/>
      <c r="I53" s="127"/>
      <c r="J53" s="130"/>
      <c r="K53" s="134">
        <f t="shared" si="0"/>
        <v>3</v>
      </c>
      <c r="L53" s="135">
        <f t="shared" si="1"/>
        <v>46325.166666666664</v>
      </c>
      <c r="M53" s="134" t="str">
        <f>IF(A53="","",IF(K53&gt;=Calendar!$AC$5,TEXT(A53,"yyyymmdd")&amp;"|"&amp;COUNTIFS($A$5:A53,A53,$K$5:K53,"&gt;="&amp;Calendar!$AC$5),""))</f>
        <v>20261030|1</v>
      </c>
    </row>
    <row r="54" spans="1:13" ht="18" customHeight="1" x14ac:dyDescent="0.25">
      <c r="A54" s="132">
        <v>46331</v>
      </c>
      <c r="B54" s="133">
        <v>0.54166666666666663</v>
      </c>
      <c r="C54" s="127" t="s">
        <v>289</v>
      </c>
      <c r="D54" s="127" t="s">
        <v>239</v>
      </c>
      <c r="E54" s="127" t="s">
        <v>520</v>
      </c>
      <c r="F54" s="130" t="s">
        <v>572</v>
      </c>
      <c r="G54" s="127"/>
      <c r="H54" s="127"/>
      <c r="I54" s="127"/>
      <c r="J54" s="130"/>
      <c r="K54" s="134">
        <f t="shared" si="0"/>
        <v>3</v>
      </c>
      <c r="L54" s="135">
        <f t="shared" si="1"/>
        <v>46331.541666666664</v>
      </c>
      <c r="M54" s="134" t="str">
        <f>IF(A54="","",IF(K54&gt;=Calendar!$AC$5,TEXT(A54,"yyyymmdd")&amp;"|"&amp;COUNTIFS($A$5:A54,A54,$K$5:K54,"&gt;="&amp;Calendar!$AC$5),""))</f>
        <v>20261105|1</v>
      </c>
    </row>
    <row r="55" spans="1:13" ht="18" customHeight="1" x14ac:dyDescent="0.25">
      <c r="A55" s="132">
        <v>46332</v>
      </c>
      <c r="B55" s="133">
        <v>0.60416666666666663</v>
      </c>
      <c r="C55" s="127" t="s">
        <v>276</v>
      </c>
      <c r="D55" s="127" t="s">
        <v>239</v>
      </c>
      <c r="E55" s="127" t="s">
        <v>514</v>
      </c>
      <c r="F55" s="130" t="s">
        <v>573</v>
      </c>
      <c r="G55" s="127"/>
      <c r="H55" s="127"/>
      <c r="I55" s="127"/>
      <c r="J55" s="130"/>
      <c r="K55" s="134">
        <f t="shared" si="0"/>
        <v>3</v>
      </c>
      <c r="L55" s="135">
        <f t="shared" si="1"/>
        <v>46332.604166666664</v>
      </c>
      <c r="M55" s="134" t="str">
        <f>IF(A55="","",IF(K55&gt;=Calendar!$AC$5,TEXT(A55,"yyyymmdd")&amp;"|"&amp;COUNTIFS($A$5:A55,A55,$K$5:K55,"&gt;="&amp;Calendar!$AC$5),""))</f>
        <v>20261106|1</v>
      </c>
    </row>
    <row r="56" spans="1:13" ht="18" customHeight="1" x14ac:dyDescent="0.25">
      <c r="A56" s="132">
        <v>46336</v>
      </c>
      <c r="B56" s="133">
        <v>0.60416666666666663</v>
      </c>
      <c r="C56" s="127" t="s">
        <v>276</v>
      </c>
      <c r="D56" s="127" t="s">
        <v>239</v>
      </c>
      <c r="E56" s="127" t="s">
        <v>532</v>
      </c>
      <c r="F56" s="130" t="s">
        <v>574</v>
      </c>
      <c r="G56" s="127"/>
      <c r="H56" s="127"/>
      <c r="I56" s="127"/>
      <c r="J56" s="130"/>
      <c r="K56" s="134">
        <f t="shared" si="0"/>
        <v>3</v>
      </c>
      <c r="L56" s="135">
        <f t="shared" si="1"/>
        <v>46336.604166666664</v>
      </c>
      <c r="M56" s="134" t="str">
        <f>IF(A56="","",IF(K56&gt;=Calendar!$AC$5,TEXT(A56,"yyyymmdd")&amp;"|"&amp;COUNTIFS($A$5:A56,A56,$K$5:K56,"&gt;="&amp;Calendar!$AC$5),""))</f>
        <v>20261110|1</v>
      </c>
    </row>
    <row r="57" spans="1:13" ht="18" customHeight="1" x14ac:dyDescent="0.25">
      <c r="A57" s="132">
        <v>46360</v>
      </c>
      <c r="B57" s="133">
        <v>0.60416666666666663</v>
      </c>
      <c r="C57" s="127" t="s">
        <v>276</v>
      </c>
      <c r="D57" s="127" t="s">
        <v>239</v>
      </c>
      <c r="E57" s="127" t="s">
        <v>514</v>
      </c>
      <c r="F57" s="130" t="s">
        <v>575</v>
      </c>
      <c r="G57" s="127"/>
      <c r="H57" s="127"/>
      <c r="I57" s="127"/>
      <c r="J57" s="130"/>
      <c r="K57" s="134">
        <f t="shared" si="0"/>
        <v>3</v>
      </c>
      <c r="L57" s="135">
        <f t="shared" si="1"/>
        <v>46360.604166666664</v>
      </c>
      <c r="M57" s="134" t="str">
        <f>IF(A57="","",IF(K57&gt;=Calendar!$AC$5,TEXT(A57,"yyyymmdd")&amp;"|"&amp;COUNTIFS($A$5:A57,A57,$K$5:K57,"&gt;="&amp;Calendar!$AC$5),""))</f>
        <v>20261204|1</v>
      </c>
    </row>
    <row r="58" spans="1:13" ht="18" customHeight="1" x14ac:dyDescent="0.25">
      <c r="A58" s="132">
        <v>46365</v>
      </c>
      <c r="B58" s="133">
        <v>0.83333333333333337</v>
      </c>
      <c r="C58" s="127" t="s">
        <v>276</v>
      </c>
      <c r="D58" s="127" t="s">
        <v>239</v>
      </c>
      <c r="E58" s="127" t="s">
        <v>520</v>
      </c>
      <c r="F58" s="130" t="s">
        <v>576</v>
      </c>
      <c r="G58" s="127"/>
      <c r="H58" s="127"/>
      <c r="I58" s="127"/>
      <c r="J58" s="130"/>
      <c r="K58" s="134">
        <f t="shared" si="0"/>
        <v>3</v>
      </c>
      <c r="L58" s="135">
        <f t="shared" si="1"/>
        <v>46365.833333333336</v>
      </c>
      <c r="M58" s="134" t="str">
        <f>IF(A58="","",IF(K58&gt;=Calendar!$AC$5,TEXT(A58,"yyyymmdd")&amp;"|"&amp;COUNTIFS($A$5:A58,A58,$K$5:K58,"&gt;="&amp;Calendar!$AC$5),""))</f>
        <v>20261209|1</v>
      </c>
    </row>
    <row r="59" spans="1:13" ht="18" customHeight="1" x14ac:dyDescent="0.25">
      <c r="A59" s="132">
        <v>46366</v>
      </c>
      <c r="B59" s="133">
        <v>0.60416666666666663</v>
      </c>
      <c r="C59" s="127" t="s">
        <v>276</v>
      </c>
      <c r="D59" s="127" t="s">
        <v>239</v>
      </c>
      <c r="E59" s="127" t="s">
        <v>532</v>
      </c>
      <c r="F59" s="130" t="s">
        <v>577</v>
      </c>
      <c r="G59" s="127"/>
      <c r="H59" s="127"/>
      <c r="I59" s="127"/>
      <c r="J59" s="130"/>
      <c r="K59" s="134">
        <f t="shared" si="0"/>
        <v>3</v>
      </c>
      <c r="L59" s="135">
        <f t="shared" si="1"/>
        <v>46366.604166666664</v>
      </c>
      <c r="M59" s="134" t="str">
        <f>IF(A59="","",IF(K59&gt;=Calendar!$AC$5,TEXT(A59,"yyyymmdd")&amp;"|"&amp;COUNTIFS($A$5:A59,A59,$K$5:K59,"&gt;="&amp;Calendar!$AC$5),""))</f>
        <v>20261210|1</v>
      </c>
    </row>
    <row r="60" spans="1:13" ht="18" customHeight="1" x14ac:dyDescent="0.25">
      <c r="A60" s="132">
        <v>46373</v>
      </c>
      <c r="B60" s="133">
        <v>0.54166666666666663</v>
      </c>
      <c r="C60" s="127" t="s">
        <v>289</v>
      </c>
      <c r="D60" s="127" t="s">
        <v>239</v>
      </c>
      <c r="E60" s="127" t="s">
        <v>520</v>
      </c>
      <c r="F60" s="130" t="s">
        <v>578</v>
      </c>
      <c r="G60" s="127"/>
      <c r="H60" s="127"/>
      <c r="I60" s="127"/>
      <c r="J60" s="130"/>
      <c r="K60" s="134">
        <f t="shared" si="0"/>
        <v>3</v>
      </c>
      <c r="L60" s="135">
        <f t="shared" si="1"/>
        <v>46373.541666666664</v>
      </c>
      <c r="M60" s="134" t="str">
        <f>IF(A60="","",IF(K60&gt;=Calendar!$AC$5,TEXT(A60,"yyyymmdd")&amp;"|"&amp;COUNTIFS($A$5:A60,A60,$K$5:K60,"&gt;="&amp;Calendar!$AC$5),""))</f>
        <v>20261217|1</v>
      </c>
    </row>
    <row r="61" spans="1:13" ht="18" customHeight="1" x14ac:dyDescent="0.25">
      <c r="A61" s="132">
        <v>46373</v>
      </c>
      <c r="B61" s="133">
        <v>0.59375</v>
      </c>
      <c r="C61" s="127" t="s">
        <v>283</v>
      </c>
      <c r="D61" s="127" t="s">
        <v>239</v>
      </c>
      <c r="E61" s="127" t="s">
        <v>520</v>
      </c>
      <c r="F61" s="130" t="s">
        <v>579</v>
      </c>
      <c r="G61" s="127"/>
      <c r="H61" s="127"/>
      <c r="I61" s="127"/>
      <c r="J61" s="130"/>
      <c r="K61" s="134">
        <f t="shared" si="0"/>
        <v>3</v>
      </c>
      <c r="L61" s="135">
        <f t="shared" si="1"/>
        <v>46373.59375</v>
      </c>
      <c r="M61" s="134" t="str">
        <f>IF(A61="","",IF(K61&gt;=Calendar!$AC$5,TEXT(A61,"yyyymmdd")&amp;"|"&amp;COUNTIFS($A$5:A61,A61,$K$5:K61,"&gt;="&amp;Calendar!$AC$5),""))</f>
        <v>20261217|2</v>
      </c>
    </row>
    <row r="62" spans="1:13" ht="18" customHeight="1" x14ac:dyDescent="0.25">
      <c r="A62" s="132">
        <v>46374</v>
      </c>
      <c r="B62" s="133">
        <v>0.16666666666666671</v>
      </c>
      <c r="C62" s="127" t="s">
        <v>294</v>
      </c>
      <c r="D62" s="127" t="s">
        <v>239</v>
      </c>
      <c r="E62" s="127" t="s">
        <v>520</v>
      </c>
      <c r="F62" s="130" t="s">
        <v>580</v>
      </c>
      <c r="G62" s="127"/>
      <c r="H62" s="127"/>
      <c r="I62" s="127"/>
      <c r="J62" s="130"/>
      <c r="K62" s="134">
        <f t="shared" si="0"/>
        <v>3</v>
      </c>
      <c r="L62" s="135">
        <f t="shared" si="1"/>
        <v>46374.166666666664</v>
      </c>
      <c r="M62" s="134" t="str">
        <f>IF(A62="","",IF(K62&gt;=Calendar!$AC$5,TEXT(A62,"yyyymmdd")&amp;"|"&amp;COUNTIFS($A$5:A62,A62,$K$5:K62,"&gt;="&amp;Calendar!$AC$5),""))</f>
        <v>20261218|1</v>
      </c>
    </row>
    <row r="63" spans="1:13" ht="18" customHeight="1" x14ac:dyDescent="0.25">
      <c r="A63" s="132"/>
      <c r="B63" s="133"/>
      <c r="C63" s="127"/>
      <c r="D63" s="127"/>
      <c r="E63" s="127"/>
      <c r="F63" s="130"/>
      <c r="G63" s="127"/>
      <c r="H63" s="127"/>
      <c r="I63" s="127"/>
      <c r="J63" s="130"/>
      <c r="K63" s="134" t="str">
        <f t="shared" si="0"/>
        <v/>
      </c>
      <c r="L63" s="135" t="str">
        <f t="shared" si="1"/>
        <v/>
      </c>
      <c r="M63" s="134" t="str">
        <f>IF(A63="","",IF(K63&gt;=Calendar!$AC$5,TEXT(A63,"yyyymmdd")&amp;"|"&amp;COUNTIFS($A$5:A63,A63,$K$5:K63,"&gt;="&amp;Calendar!$AC$5),""))</f>
        <v/>
      </c>
    </row>
    <row r="64" spans="1:13" ht="18" customHeight="1" x14ac:dyDescent="0.25">
      <c r="A64" s="132"/>
      <c r="B64" s="133"/>
      <c r="C64" s="127"/>
      <c r="D64" s="127"/>
      <c r="E64" s="127"/>
      <c r="F64" s="130"/>
      <c r="G64" s="127"/>
      <c r="H64" s="127"/>
      <c r="I64" s="127"/>
      <c r="J64" s="130"/>
      <c r="K64" s="134" t="str">
        <f t="shared" si="0"/>
        <v/>
      </c>
      <c r="L64" s="135" t="str">
        <f t="shared" si="1"/>
        <v/>
      </c>
      <c r="M64" s="134" t="str">
        <f>IF(A64="","",IF(K64&gt;=Calendar!$AC$5,TEXT(A64,"yyyymmdd")&amp;"|"&amp;COUNTIFS($A$5:A64,A64,$K$5:K64,"&gt;="&amp;Calendar!$AC$5),""))</f>
        <v/>
      </c>
    </row>
    <row r="65" spans="1:13" ht="18" customHeight="1" x14ac:dyDescent="0.25">
      <c r="A65" s="132"/>
      <c r="B65" s="133"/>
      <c r="C65" s="127"/>
      <c r="D65" s="127"/>
      <c r="E65" s="127"/>
      <c r="F65" s="130"/>
      <c r="G65" s="127"/>
      <c r="H65" s="127"/>
      <c r="I65" s="127"/>
      <c r="J65" s="130"/>
      <c r="K65" s="134" t="str">
        <f t="shared" si="0"/>
        <v/>
      </c>
      <c r="L65" s="135" t="str">
        <f t="shared" si="1"/>
        <v/>
      </c>
      <c r="M65" s="134" t="str">
        <f>IF(A65="","",IF(K65&gt;=Calendar!$AC$5,TEXT(A65,"yyyymmdd")&amp;"|"&amp;COUNTIFS($A$5:A65,A65,$K$5:K65,"&gt;="&amp;Calendar!$AC$5),""))</f>
        <v/>
      </c>
    </row>
    <row r="66" spans="1:13" ht="18" customHeight="1" x14ac:dyDescent="0.25">
      <c r="A66" s="132"/>
      <c r="B66" s="133"/>
      <c r="C66" s="127"/>
      <c r="D66" s="127"/>
      <c r="E66" s="127"/>
      <c r="F66" s="130"/>
      <c r="G66" s="127"/>
      <c r="H66" s="127"/>
      <c r="I66" s="127"/>
      <c r="J66" s="130"/>
      <c r="K66" s="134" t="str">
        <f t="shared" si="0"/>
        <v/>
      </c>
      <c r="L66" s="135" t="str">
        <f t="shared" si="1"/>
        <v/>
      </c>
      <c r="M66" s="134" t="str">
        <f>IF(A66="","",IF(K66&gt;=Calendar!$AC$5,TEXT(A66,"yyyymmdd")&amp;"|"&amp;COUNTIFS($A$5:A66,A66,$K$5:K66,"&gt;="&amp;Calendar!$AC$5),""))</f>
        <v/>
      </c>
    </row>
    <row r="67" spans="1:13" ht="18" customHeight="1" x14ac:dyDescent="0.25">
      <c r="A67" s="132"/>
      <c r="B67" s="133"/>
      <c r="C67" s="127"/>
      <c r="D67" s="127"/>
      <c r="E67" s="127"/>
      <c r="F67" s="130"/>
      <c r="G67" s="127"/>
      <c r="H67" s="127"/>
      <c r="I67" s="127"/>
      <c r="J67" s="130"/>
      <c r="K67" s="134" t="str">
        <f t="shared" si="0"/>
        <v/>
      </c>
      <c r="L67" s="135" t="str">
        <f t="shared" si="1"/>
        <v/>
      </c>
      <c r="M67" s="134" t="str">
        <f>IF(A67="","",IF(K67&gt;=Calendar!$AC$5,TEXT(A67,"yyyymmdd")&amp;"|"&amp;COUNTIFS($A$5:A67,A67,$K$5:K67,"&gt;="&amp;Calendar!$AC$5),""))</f>
        <v/>
      </c>
    </row>
    <row r="68" spans="1:13" ht="18" customHeight="1" x14ac:dyDescent="0.25">
      <c r="A68" s="132"/>
      <c r="B68" s="133"/>
      <c r="C68" s="127"/>
      <c r="D68" s="127"/>
      <c r="E68" s="127"/>
      <c r="F68" s="130"/>
      <c r="G68" s="127"/>
      <c r="H68" s="127"/>
      <c r="I68" s="127"/>
      <c r="J68" s="130"/>
      <c r="K68" s="134" t="str">
        <f t="shared" si="0"/>
        <v/>
      </c>
      <c r="L68" s="135" t="str">
        <f t="shared" si="1"/>
        <v/>
      </c>
      <c r="M68" s="134" t="str">
        <f>IF(A68="","",IF(K68&gt;=Calendar!$AC$5,TEXT(A68,"yyyymmdd")&amp;"|"&amp;COUNTIFS($A$5:A68,A68,$K$5:K68,"&gt;="&amp;Calendar!$AC$5),""))</f>
        <v/>
      </c>
    </row>
    <row r="69" spans="1:13" ht="18" customHeight="1" x14ac:dyDescent="0.25">
      <c r="A69" s="132"/>
      <c r="B69" s="133"/>
      <c r="C69" s="127"/>
      <c r="D69" s="127"/>
      <c r="E69" s="127"/>
      <c r="F69" s="130"/>
      <c r="G69" s="127"/>
      <c r="H69" s="127"/>
      <c r="I69" s="127"/>
      <c r="J69" s="130"/>
      <c r="K69" s="134" t="str">
        <f t="shared" ref="K69:K132" si="2">IF(A69="","",IF(D69="High",3,IF(OR(D69="Medium",D69="Holiday"),2,1)))</f>
        <v/>
      </c>
      <c r="L69" s="135" t="str">
        <f t="shared" ref="L69:L132" si="3">IF(A69="","",A69+B69)</f>
        <v/>
      </c>
      <c r="M69" s="134" t="str">
        <f>IF(A69="","",IF(K69&gt;=Calendar!$AC$5,TEXT(A69,"yyyymmdd")&amp;"|"&amp;COUNTIFS($A$5:A69,A69,$K$5:K69,"&gt;="&amp;Calendar!$AC$5),""))</f>
        <v/>
      </c>
    </row>
    <row r="70" spans="1:13" ht="18" customHeight="1" x14ac:dyDescent="0.25">
      <c r="A70" s="132"/>
      <c r="B70" s="133"/>
      <c r="C70" s="127"/>
      <c r="D70" s="127"/>
      <c r="E70" s="127"/>
      <c r="F70" s="130"/>
      <c r="G70" s="127"/>
      <c r="H70" s="127"/>
      <c r="I70" s="127"/>
      <c r="J70" s="130"/>
      <c r="K70" s="134" t="str">
        <f t="shared" si="2"/>
        <v/>
      </c>
      <c r="L70" s="135" t="str">
        <f t="shared" si="3"/>
        <v/>
      </c>
      <c r="M70" s="134" t="str">
        <f>IF(A70="","",IF(K70&gt;=Calendar!$AC$5,TEXT(A70,"yyyymmdd")&amp;"|"&amp;COUNTIFS($A$5:A70,A70,$K$5:K70,"&gt;="&amp;Calendar!$AC$5),""))</f>
        <v/>
      </c>
    </row>
    <row r="71" spans="1:13" ht="18" customHeight="1" x14ac:dyDescent="0.25">
      <c r="A71" s="132"/>
      <c r="B71" s="133"/>
      <c r="C71" s="127"/>
      <c r="D71" s="127"/>
      <c r="E71" s="127"/>
      <c r="F71" s="130"/>
      <c r="G71" s="127"/>
      <c r="H71" s="127"/>
      <c r="I71" s="127"/>
      <c r="J71" s="130"/>
      <c r="K71" s="134" t="str">
        <f t="shared" si="2"/>
        <v/>
      </c>
      <c r="L71" s="135" t="str">
        <f t="shared" si="3"/>
        <v/>
      </c>
      <c r="M71" s="134" t="str">
        <f>IF(A71="","",IF(K71&gt;=Calendar!$AC$5,TEXT(A71,"yyyymmdd")&amp;"|"&amp;COUNTIFS($A$5:A71,A71,$K$5:K71,"&gt;="&amp;Calendar!$AC$5),""))</f>
        <v/>
      </c>
    </row>
    <row r="72" spans="1:13" ht="18" customHeight="1" x14ac:dyDescent="0.25">
      <c r="A72" s="132"/>
      <c r="B72" s="133"/>
      <c r="C72" s="127"/>
      <c r="D72" s="127"/>
      <c r="E72" s="127"/>
      <c r="F72" s="130"/>
      <c r="G72" s="127"/>
      <c r="H72" s="127"/>
      <c r="I72" s="127"/>
      <c r="J72" s="130"/>
      <c r="K72" s="134" t="str">
        <f t="shared" si="2"/>
        <v/>
      </c>
      <c r="L72" s="135" t="str">
        <f t="shared" si="3"/>
        <v/>
      </c>
      <c r="M72" s="134" t="str">
        <f>IF(A72="","",IF(K72&gt;=Calendar!$AC$5,TEXT(A72,"yyyymmdd")&amp;"|"&amp;COUNTIFS($A$5:A72,A72,$K$5:K72,"&gt;="&amp;Calendar!$AC$5),""))</f>
        <v/>
      </c>
    </row>
    <row r="73" spans="1:13" ht="18" customHeight="1" x14ac:dyDescent="0.25">
      <c r="A73" s="132"/>
      <c r="B73" s="133"/>
      <c r="C73" s="127"/>
      <c r="D73" s="127"/>
      <c r="E73" s="127"/>
      <c r="F73" s="130"/>
      <c r="G73" s="127"/>
      <c r="H73" s="127"/>
      <c r="I73" s="127"/>
      <c r="J73" s="130"/>
      <c r="K73" s="134" t="str">
        <f t="shared" si="2"/>
        <v/>
      </c>
      <c r="L73" s="135" t="str">
        <f t="shared" si="3"/>
        <v/>
      </c>
      <c r="M73" s="134" t="str">
        <f>IF(A73="","",IF(K73&gt;=Calendar!$AC$5,TEXT(A73,"yyyymmdd")&amp;"|"&amp;COUNTIFS($A$5:A73,A73,$K$5:K73,"&gt;="&amp;Calendar!$AC$5),""))</f>
        <v/>
      </c>
    </row>
    <row r="74" spans="1:13" ht="18" customHeight="1" x14ac:dyDescent="0.25">
      <c r="A74" s="132"/>
      <c r="B74" s="133"/>
      <c r="C74" s="127"/>
      <c r="D74" s="127"/>
      <c r="E74" s="127"/>
      <c r="F74" s="130"/>
      <c r="G74" s="127"/>
      <c r="H74" s="127"/>
      <c r="I74" s="127"/>
      <c r="J74" s="130"/>
      <c r="K74" s="134" t="str">
        <f t="shared" si="2"/>
        <v/>
      </c>
      <c r="L74" s="135" t="str">
        <f t="shared" si="3"/>
        <v/>
      </c>
      <c r="M74" s="134" t="str">
        <f>IF(A74="","",IF(K74&gt;=Calendar!$AC$5,TEXT(A74,"yyyymmdd")&amp;"|"&amp;COUNTIFS($A$5:A74,A74,$K$5:K74,"&gt;="&amp;Calendar!$AC$5),""))</f>
        <v/>
      </c>
    </row>
    <row r="75" spans="1:13" ht="18" customHeight="1" x14ac:dyDescent="0.25">
      <c r="A75" s="132"/>
      <c r="B75" s="133"/>
      <c r="C75" s="127"/>
      <c r="D75" s="127"/>
      <c r="E75" s="127"/>
      <c r="F75" s="130"/>
      <c r="G75" s="127"/>
      <c r="H75" s="127"/>
      <c r="I75" s="127"/>
      <c r="J75" s="130"/>
      <c r="K75" s="134" t="str">
        <f t="shared" si="2"/>
        <v/>
      </c>
      <c r="L75" s="135" t="str">
        <f t="shared" si="3"/>
        <v/>
      </c>
      <c r="M75" s="134" t="str">
        <f>IF(A75="","",IF(K75&gt;=Calendar!$AC$5,TEXT(A75,"yyyymmdd")&amp;"|"&amp;COUNTIFS($A$5:A75,A75,$K$5:K75,"&gt;="&amp;Calendar!$AC$5),""))</f>
        <v/>
      </c>
    </row>
    <row r="76" spans="1:13" ht="18" customHeight="1" x14ac:dyDescent="0.25">
      <c r="A76" s="132"/>
      <c r="B76" s="133"/>
      <c r="C76" s="127"/>
      <c r="D76" s="127"/>
      <c r="E76" s="127"/>
      <c r="F76" s="130"/>
      <c r="G76" s="127"/>
      <c r="H76" s="127"/>
      <c r="I76" s="127"/>
      <c r="J76" s="130"/>
      <c r="K76" s="134" t="str">
        <f t="shared" si="2"/>
        <v/>
      </c>
      <c r="L76" s="135" t="str">
        <f t="shared" si="3"/>
        <v/>
      </c>
      <c r="M76" s="134" t="str">
        <f>IF(A76="","",IF(K76&gt;=Calendar!$AC$5,TEXT(A76,"yyyymmdd")&amp;"|"&amp;COUNTIFS($A$5:A76,A76,$K$5:K76,"&gt;="&amp;Calendar!$AC$5),""))</f>
        <v/>
      </c>
    </row>
    <row r="77" spans="1:13" ht="18" customHeight="1" x14ac:dyDescent="0.25">
      <c r="A77" s="132"/>
      <c r="B77" s="133"/>
      <c r="C77" s="127"/>
      <c r="D77" s="127"/>
      <c r="E77" s="127"/>
      <c r="F77" s="130"/>
      <c r="G77" s="127"/>
      <c r="H77" s="127"/>
      <c r="I77" s="127"/>
      <c r="J77" s="130"/>
      <c r="K77" s="134" t="str">
        <f t="shared" si="2"/>
        <v/>
      </c>
      <c r="L77" s="135" t="str">
        <f t="shared" si="3"/>
        <v/>
      </c>
      <c r="M77" s="134" t="str">
        <f>IF(A77="","",IF(K77&gt;=Calendar!$AC$5,TEXT(A77,"yyyymmdd")&amp;"|"&amp;COUNTIFS($A$5:A77,A77,$K$5:K77,"&gt;="&amp;Calendar!$AC$5),""))</f>
        <v/>
      </c>
    </row>
    <row r="78" spans="1:13" ht="18" customHeight="1" x14ac:dyDescent="0.25">
      <c r="A78" s="132"/>
      <c r="B78" s="133"/>
      <c r="C78" s="127"/>
      <c r="D78" s="127"/>
      <c r="E78" s="127"/>
      <c r="F78" s="130"/>
      <c r="G78" s="127"/>
      <c r="H78" s="127"/>
      <c r="I78" s="127"/>
      <c r="J78" s="130"/>
      <c r="K78" s="134" t="str">
        <f t="shared" si="2"/>
        <v/>
      </c>
      <c r="L78" s="135" t="str">
        <f t="shared" si="3"/>
        <v/>
      </c>
      <c r="M78" s="134" t="str">
        <f>IF(A78="","",IF(K78&gt;=Calendar!$AC$5,TEXT(A78,"yyyymmdd")&amp;"|"&amp;COUNTIFS($A$5:A78,A78,$K$5:K78,"&gt;="&amp;Calendar!$AC$5),""))</f>
        <v/>
      </c>
    </row>
    <row r="79" spans="1:13" ht="18" customHeight="1" x14ac:dyDescent="0.25">
      <c r="A79" s="132"/>
      <c r="B79" s="133"/>
      <c r="C79" s="127"/>
      <c r="D79" s="127"/>
      <c r="E79" s="127"/>
      <c r="F79" s="130"/>
      <c r="G79" s="127"/>
      <c r="H79" s="127"/>
      <c r="I79" s="127"/>
      <c r="J79" s="130"/>
      <c r="K79" s="134" t="str">
        <f t="shared" si="2"/>
        <v/>
      </c>
      <c r="L79" s="135" t="str">
        <f t="shared" si="3"/>
        <v/>
      </c>
      <c r="M79" s="134" t="str">
        <f>IF(A79="","",IF(K79&gt;=Calendar!$AC$5,TEXT(A79,"yyyymmdd")&amp;"|"&amp;COUNTIFS($A$5:A79,A79,$K$5:K79,"&gt;="&amp;Calendar!$AC$5),""))</f>
        <v/>
      </c>
    </row>
    <row r="80" spans="1:13" ht="18" customHeight="1" x14ac:dyDescent="0.25">
      <c r="A80" s="132"/>
      <c r="B80" s="133"/>
      <c r="C80" s="127"/>
      <c r="D80" s="127"/>
      <c r="E80" s="127"/>
      <c r="F80" s="130"/>
      <c r="G80" s="127"/>
      <c r="H80" s="127"/>
      <c r="I80" s="127"/>
      <c r="J80" s="130"/>
      <c r="K80" s="134" t="str">
        <f t="shared" si="2"/>
        <v/>
      </c>
      <c r="L80" s="135" t="str">
        <f t="shared" si="3"/>
        <v/>
      </c>
      <c r="M80" s="134" t="str">
        <f>IF(A80="","",IF(K80&gt;=Calendar!$AC$5,TEXT(A80,"yyyymmdd")&amp;"|"&amp;COUNTIFS($A$5:A80,A80,$K$5:K80,"&gt;="&amp;Calendar!$AC$5),""))</f>
        <v/>
      </c>
    </row>
    <row r="81" spans="1:13" ht="18" customHeight="1" x14ac:dyDescent="0.25">
      <c r="A81" s="132"/>
      <c r="B81" s="133"/>
      <c r="C81" s="127"/>
      <c r="D81" s="127"/>
      <c r="E81" s="127"/>
      <c r="F81" s="130"/>
      <c r="G81" s="127"/>
      <c r="H81" s="127"/>
      <c r="I81" s="127"/>
      <c r="J81" s="130"/>
      <c r="K81" s="134" t="str">
        <f t="shared" si="2"/>
        <v/>
      </c>
      <c r="L81" s="135" t="str">
        <f t="shared" si="3"/>
        <v/>
      </c>
      <c r="M81" s="134" t="str">
        <f>IF(A81="","",IF(K81&gt;=Calendar!$AC$5,TEXT(A81,"yyyymmdd")&amp;"|"&amp;COUNTIFS($A$5:A81,A81,$K$5:K81,"&gt;="&amp;Calendar!$AC$5),""))</f>
        <v/>
      </c>
    </row>
    <row r="82" spans="1:13" ht="18" customHeight="1" x14ac:dyDescent="0.25">
      <c r="A82" s="132"/>
      <c r="B82" s="133"/>
      <c r="C82" s="127"/>
      <c r="D82" s="127"/>
      <c r="E82" s="127"/>
      <c r="F82" s="130"/>
      <c r="G82" s="127"/>
      <c r="H82" s="127"/>
      <c r="I82" s="127"/>
      <c r="J82" s="130"/>
      <c r="K82" s="134" t="str">
        <f t="shared" si="2"/>
        <v/>
      </c>
      <c r="L82" s="135" t="str">
        <f t="shared" si="3"/>
        <v/>
      </c>
      <c r="M82" s="134" t="str">
        <f>IF(A82="","",IF(K82&gt;=Calendar!$AC$5,TEXT(A82,"yyyymmdd")&amp;"|"&amp;COUNTIFS($A$5:A82,A82,$K$5:K82,"&gt;="&amp;Calendar!$AC$5),""))</f>
        <v/>
      </c>
    </row>
    <row r="83" spans="1:13" ht="18" customHeight="1" x14ac:dyDescent="0.25">
      <c r="A83" s="132"/>
      <c r="B83" s="133"/>
      <c r="C83" s="127"/>
      <c r="D83" s="127"/>
      <c r="E83" s="127"/>
      <c r="F83" s="130"/>
      <c r="G83" s="127"/>
      <c r="H83" s="127"/>
      <c r="I83" s="127"/>
      <c r="J83" s="130"/>
      <c r="K83" s="134" t="str">
        <f t="shared" si="2"/>
        <v/>
      </c>
      <c r="L83" s="135" t="str">
        <f t="shared" si="3"/>
        <v/>
      </c>
      <c r="M83" s="134" t="str">
        <f>IF(A83="","",IF(K83&gt;=Calendar!$AC$5,TEXT(A83,"yyyymmdd")&amp;"|"&amp;COUNTIFS($A$5:A83,A83,$K$5:K83,"&gt;="&amp;Calendar!$AC$5),""))</f>
        <v/>
      </c>
    </row>
    <row r="84" spans="1:13" ht="18" customHeight="1" x14ac:dyDescent="0.25">
      <c r="A84" s="132"/>
      <c r="B84" s="133"/>
      <c r="C84" s="127"/>
      <c r="D84" s="127"/>
      <c r="E84" s="127"/>
      <c r="F84" s="130"/>
      <c r="G84" s="127"/>
      <c r="H84" s="127"/>
      <c r="I84" s="127"/>
      <c r="J84" s="130"/>
      <c r="K84" s="134" t="str">
        <f t="shared" si="2"/>
        <v/>
      </c>
      <c r="L84" s="135" t="str">
        <f t="shared" si="3"/>
        <v/>
      </c>
      <c r="M84" s="134" t="str">
        <f>IF(A84="","",IF(K84&gt;=Calendar!$AC$5,TEXT(A84,"yyyymmdd")&amp;"|"&amp;COUNTIFS($A$5:A84,A84,$K$5:K84,"&gt;="&amp;Calendar!$AC$5),""))</f>
        <v/>
      </c>
    </row>
    <row r="85" spans="1:13" ht="18" customHeight="1" x14ac:dyDescent="0.25">
      <c r="A85" s="132"/>
      <c r="B85" s="133"/>
      <c r="C85" s="127"/>
      <c r="D85" s="127"/>
      <c r="E85" s="127"/>
      <c r="F85" s="130"/>
      <c r="G85" s="127"/>
      <c r="H85" s="127"/>
      <c r="I85" s="127"/>
      <c r="J85" s="130"/>
      <c r="K85" s="134" t="str">
        <f t="shared" si="2"/>
        <v/>
      </c>
      <c r="L85" s="135" t="str">
        <f t="shared" si="3"/>
        <v/>
      </c>
      <c r="M85" s="134" t="str">
        <f>IF(A85="","",IF(K85&gt;=Calendar!$AC$5,TEXT(A85,"yyyymmdd")&amp;"|"&amp;COUNTIFS($A$5:A85,A85,$K$5:K85,"&gt;="&amp;Calendar!$AC$5),""))</f>
        <v/>
      </c>
    </row>
    <row r="86" spans="1:13" ht="18" customHeight="1" x14ac:dyDescent="0.25">
      <c r="A86" s="132"/>
      <c r="B86" s="133"/>
      <c r="C86" s="127"/>
      <c r="D86" s="127"/>
      <c r="E86" s="127"/>
      <c r="F86" s="130"/>
      <c r="G86" s="127"/>
      <c r="H86" s="127"/>
      <c r="I86" s="127"/>
      <c r="J86" s="130"/>
      <c r="K86" s="134" t="str">
        <f t="shared" si="2"/>
        <v/>
      </c>
      <c r="L86" s="135" t="str">
        <f t="shared" si="3"/>
        <v/>
      </c>
      <c r="M86" s="134" t="str">
        <f>IF(A86="","",IF(K86&gt;=Calendar!$AC$5,TEXT(A86,"yyyymmdd")&amp;"|"&amp;COUNTIFS($A$5:A86,A86,$K$5:K86,"&gt;="&amp;Calendar!$AC$5),""))</f>
        <v/>
      </c>
    </row>
    <row r="87" spans="1:13" ht="18" customHeight="1" x14ac:dyDescent="0.25">
      <c r="A87" s="132"/>
      <c r="B87" s="133"/>
      <c r="C87" s="127"/>
      <c r="D87" s="127"/>
      <c r="E87" s="127"/>
      <c r="F87" s="130"/>
      <c r="G87" s="127"/>
      <c r="H87" s="127"/>
      <c r="I87" s="127"/>
      <c r="J87" s="130"/>
      <c r="K87" s="134" t="str">
        <f t="shared" si="2"/>
        <v/>
      </c>
      <c r="L87" s="135" t="str">
        <f t="shared" si="3"/>
        <v/>
      </c>
      <c r="M87" s="134" t="str">
        <f>IF(A87="","",IF(K87&gt;=Calendar!$AC$5,TEXT(A87,"yyyymmdd")&amp;"|"&amp;COUNTIFS($A$5:A87,A87,$K$5:K87,"&gt;="&amp;Calendar!$AC$5),""))</f>
        <v/>
      </c>
    </row>
    <row r="88" spans="1:13" ht="18" customHeight="1" x14ac:dyDescent="0.25">
      <c r="A88" s="132"/>
      <c r="B88" s="133"/>
      <c r="C88" s="127"/>
      <c r="D88" s="127"/>
      <c r="E88" s="127"/>
      <c r="F88" s="130"/>
      <c r="G88" s="127"/>
      <c r="H88" s="127"/>
      <c r="I88" s="127"/>
      <c r="J88" s="130"/>
      <c r="K88" s="134" t="str">
        <f t="shared" si="2"/>
        <v/>
      </c>
      <c r="L88" s="135" t="str">
        <f t="shared" si="3"/>
        <v/>
      </c>
      <c r="M88" s="134" t="str">
        <f>IF(A88="","",IF(K88&gt;=Calendar!$AC$5,TEXT(A88,"yyyymmdd")&amp;"|"&amp;COUNTIFS($A$5:A88,A88,$K$5:K88,"&gt;="&amp;Calendar!$AC$5),""))</f>
        <v/>
      </c>
    </row>
    <row r="89" spans="1:13" ht="18" customHeight="1" x14ac:dyDescent="0.25">
      <c r="A89" s="132"/>
      <c r="B89" s="133"/>
      <c r="C89" s="127"/>
      <c r="D89" s="127"/>
      <c r="E89" s="127"/>
      <c r="F89" s="130"/>
      <c r="G89" s="127"/>
      <c r="H89" s="127"/>
      <c r="I89" s="127"/>
      <c r="J89" s="130"/>
      <c r="K89" s="134" t="str">
        <f t="shared" si="2"/>
        <v/>
      </c>
      <c r="L89" s="135" t="str">
        <f t="shared" si="3"/>
        <v/>
      </c>
      <c r="M89" s="134" t="str">
        <f>IF(A89="","",IF(K89&gt;=Calendar!$AC$5,TEXT(A89,"yyyymmdd")&amp;"|"&amp;COUNTIFS($A$5:A89,A89,$K$5:K89,"&gt;="&amp;Calendar!$AC$5),""))</f>
        <v/>
      </c>
    </row>
    <row r="90" spans="1:13" ht="18" customHeight="1" x14ac:dyDescent="0.25">
      <c r="A90" s="132"/>
      <c r="B90" s="133"/>
      <c r="C90" s="127"/>
      <c r="D90" s="127"/>
      <c r="E90" s="127"/>
      <c r="F90" s="130"/>
      <c r="G90" s="127"/>
      <c r="H90" s="127"/>
      <c r="I90" s="127"/>
      <c r="J90" s="130"/>
      <c r="K90" s="134" t="str">
        <f t="shared" si="2"/>
        <v/>
      </c>
      <c r="L90" s="135" t="str">
        <f t="shared" si="3"/>
        <v/>
      </c>
      <c r="M90" s="134" t="str">
        <f>IF(A90="","",IF(K90&gt;=Calendar!$AC$5,TEXT(A90,"yyyymmdd")&amp;"|"&amp;COUNTIFS($A$5:A90,A90,$K$5:K90,"&gt;="&amp;Calendar!$AC$5),""))</f>
        <v/>
      </c>
    </row>
    <row r="91" spans="1:13" ht="18" customHeight="1" x14ac:dyDescent="0.25">
      <c r="A91" s="132"/>
      <c r="B91" s="133"/>
      <c r="C91" s="127"/>
      <c r="D91" s="127"/>
      <c r="E91" s="127"/>
      <c r="F91" s="130"/>
      <c r="G91" s="127"/>
      <c r="H91" s="127"/>
      <c r="I91" s="127"/>
      <c r="J91" s="130"/>
      <c r="K91" s="134" t="str">
        <f t="shared" si="2"/>
        <v/>
      </c>
      <c r="L91" s="135" t="str">
        <f t="shared" si="3"/>
        <v/>
      </c>
      <c r="M91" s="134" t="str">
        <f>IF(A91="","",IF(K91&gt;=Calendar!$AC$5,TEXT(A91,"yyyymmdd")&amp;"|"&amp;COUNTIFS($A$5:A91,A91,$K$5:K91,"&gt;="&amp;Calendar!$AC$5),""))</f>
        <v/>
      </c>
    </row>
    <row r="92" spans="1:13" ht="18" customHeight="1" x14ac:dyDescent="0.25">
      <c r="A92" s="132"/>
      <c r="B92" s="133"/>
      <c r="C92" s="127"/>
      <c r="D92" s="127"/>
      <c r="E92" s="127"/>
      <c r="F92" s="130"/>
      <c r="G92" s="127"/>
      <c r="H92" s="127"/>
      <c r="I92" s="127"/>
      <c r="J92" s="130"/>
      <c r="K92" s="134" t="str">
        <f t="shared" si="2"/>
        <v/>
      </c>
      <c r="L92" s="135" t="str">
        <f t="shared" si="3"/>
        <v/>
      </c>
      <c r="M92" s="134" t="str">
        <f>IF(A92="","",IF(K92&gt;=Calendar!$AC$5,TEXT(A92,"yyyymmdd")&amp;"|"&amp;COUNTIFS($A$5:A92,A92,$K$5:K92,"&gt;="&amp;Calendar!$AC$5),""))</f>
        <v/>
      </c>
    </row>
    <row r="93" spans="1:13" ht="18" customHeight="1" x14ac:dyDescent="0.25">
      <c r="A93" s="132"/>
      <c r="B93" s="133"/>
      <c r="C93" s="127"/>
      <c r="D93" s="127"/>
      <c r="E93" s="127"/>
      <c r="F93" s="130"/>
      <c r="G93" s="127"/>
      <c r="H93" s="127"/>
      <c r="I93" s="127"/>
      <c r="J93" s="130"/>
      <c r="K93" s="134" t="str">
        <f t="shared" si="2"/>
        <v/>
      </c>
      <c r="L93" s="135" t="str">
        <f t="shared" si="3"/>
        <v/>
      </c>
      <c r="M93" s="134" t="str">
        <f>IF(A93="","",IF(K93&gt;=Calendar!$AC$5,TEXT(A93,"yyyymmdd")&amp;"|"&amp;COUNTIFS($A$5:A93,A93,$K$5:K93,"&gt;="&amp;Calendar!$AC$5),""))</f>
        <v/>
      </c>
    </row>
    <row r="94" spans="1:13" ht="18" customHeight="1" x14ac:dyDescent="0.25">
      <c r="A94" s="132"/>
      <c r="B94" s="133"/>
      <c r="C94" s="127"/>
      <c r="D94" s="127"/>
      <c r="E94" s="127"/>
      <c r="F94" s="130"/>
      <c r="G94" s="127"/>
      <c r="H94" s="127"/>
      <c r="I94" s="127"/>
      <c r="J94" s="130"/>
      <c r="K94" s="134" t="str">
        <f t="shared" si="2"/>
        <v/>
      </c>
      <c r="L94" s="135" t="str">
        <f t="shared" si="3"/>
        <v/>
      </c>
      <c r="M94" s="134" t="str">
        <f>IF(A94="","",IF(K94&gt;=Calendar!$AC$5,TEXT(A94,"yyyymmdd")&amp;"|"&amp;COUNTIFS($A$5:A94,A94,$K$5:K94,"&gt;="&amp;Calendar!$AC$5),""))</f>
        <v/>
      </c>
    </row>
    <row r="95" spans="1:13" ht="18" customHeight="1" x14ac:dyDescent="0.25">
      <c r="A95" s="132"/>
      <c r="B95" s="133"/>
      <c r="C95" s="127"/>
      <c r="D95" s="127"/>
      <c r="E95" s="127"/>
      <c r="F95" s="130"/>
      <c r="G95" s="127"/>
      <c r="H95" s="127"/>
      <c r="I95" s="127"/>
      <c r="J95" s="130"/>
      <c r="K95" s="134" t="str">
        <f t="shared" si="2"/>
        <v/>
      </c>
      <c r="L95" s="135" t="str">
        <f t="shared" si="3"/>
        <v/>
      </c>
      <c r="M95" s="134" t="str">
        <f>IF(A95="","",IF(K95&gt;=Calendar!$AC$5,TEXT(A95,"yyyymmdd")&amp;"|"&amp;COUNTIFS($A$5:A95,A95,$K$5:K95,"&gt;="&amp;Calendar!$AC$5),""))</f>
        <v/>
      </c>
    </row>
    <row r="96" spans="1:13" ht="18" customHeight="1" x14ac:dyDescent="0.25">
      <c r="A96" s="132"/>
      <c r="B96" s="133"/>
      <c r="C96" s="127"/>
      <c r="D96" s="127"/>
      <c r="E96" s="127"/>
      <c r="F96" s="130"/>
      <c r="G96" s="127"/>
      <c r="H96" s="127"/>
      <c r="I96" s="127"/>
      <c r="J96" s="130"/>
      <c r="K96" s="134" t="str">
        <f t="shared" si="2"/>
        <v/>
      </c>
      <c r="L96" s="135" t="str">
        <f t="shared" si="3"/>
        <v/>
      </c>
      <c r="M96" s="134" t="str">
        <f>IF(A96="","",IF(K96&gt;=Calendar!$AC$5,TEXT(A96,"yyyymmdd")&amp;"|"&amp;COUNTIFS($A$5:A96,A96,$K$5:K96,"&gt;="&amp;Calendar!$AC$5),""))</f>
        <v/>
      </c>
    </row>
    <row r="97" spans="1:13" ht="18" customHeight="1" x14ac:dyDescent="0.25">
      <c r="A97" s="132"/>
      <c r="B97" s="133"/>
      <c r="C97" s="127"/>
      <c r="D97" s="127"/>
      <c r="E97" s="127"/>
      <c r="F97" s="130"/>
      <c r="G97" s="127"/>
      <c r="H97" s="127"/>
      <c r="I97" s="127"/>
      <c r="J97" s="130"/>
      <c r="K97" s="134" t="str">
        <f t="shared" si="2"/>
        <v/>
      </c>
      <c r="L97" s="135" t="str">
        <f t="shared" si="3"/>
        <v/>
      </c>
      <c r="M97" s="134" t="str">
        <f>IF(A97="","",IF(K97&gt;=Calendar!$AC$5,TEXT(A97,"yyyymmdd")&amp;"|"&amp;COUNTIFS($A$5:A97,A97,$K$5:K97,"&gt;="&amp;Calendar!$AC$5),""))</f>
        <v/>
      </c>
    </row>
    <row r="98" spans="1:13" ht="18" customHeight="1" x14ac:dyDescent="0.25">
      <c r="A98" s="132"/>
      <c r="B98" s="133"/>
      <c r="C98" s="127"/>
      <c r="D98" s="127"/>
      <c r="E98" s="127"/>
      <c r="F98" s="130"/>
      <c r="G98" s="127"/>
      <c r="H98" s="127"/>
      <c r="I98" s="127"/>
      <c r="J98" s="130"/>
      <c r="K98" s="134" t="str">
        <f t="shared" si="2"/>
        <v/>
      </c>
      <c r="L98" s="135" t="str">
        <f t="shared" si="3"/>
        <v/>
      </c>
      <c r="M98" s="134" t="str">
        <f>IF(A98="","",IF(K98&gt;=Calendar!$AC$5,TEXT(A98,"yyyymmdd")&amp;"|"&amp;COUNTIFS($A$5:A98,A98,$K$5:K98,"&gt;="&amp;Calendar!$AC$5),""))</f>
        <v/>
      </c>
    </row>
    <row r="99" spans="1:13" ht="18" customHeight="1" x14ac:dyDescent="0.25">
      <c r="A99" s="132"/>
      <c r="B99" s="133"/>
      <c r="C99" s="127"/>
      <c r="D99" s="127"/>
      <c r="E99" s="127"/>
      <c r="F99" s="130"/>
      <c r="G99" s="127"/>
      <c r="H99" s="127"/>
      <c r="I99" s="127"/>
      <c r="J99" s="130"/>
      <c r="K99" s="134" t="str">
        <f t="shared" si="2"/>
        <v/>
      </c>
      <c r="L99" s="135" t="str">
        <f t="shared" si="3"/>
        <v/>
      </c>
      <c r="M99" s="134" t="str">
        <f>IF(A99="","",IF(K99&gt;=Calendar!$AC$5,TEXT(A99,"yyyymmdd")&amp;"|"&amp;COUNTIFS($A$5:A99,A99,$K$5:K99,"&gt;="&amp;Calendar!$AC$5),""))</f>
        <v/>
      </c>
    </row>
    <row r="100" spans="1:13" ht="18" customHeight="1" x14ac:dyDescent="0.25">
      <c r="A100" s="132"/>
      <c r="B100" s="133"/>
      <c r="C100" s="127"/>
      <c r="D100" s="127"/>
      <c r="E100" s="127"/>
      <c r="F100" s="130"/>
      <c r="G100" s="127"/>
      <c r="H100" s="127"/>
      <c r="I100" s="127"/>
      <c r="J100" s="130"/>
      <c r="K100" s="134" t="str">
        <f t="shared" si="2"/>
        <v/>
      </c>
      <c r="L100" s="135" t="str">
        <f t="shared" si="3"/>
        <v/>
      </c>
      <c r="M100" s="134" t="str">
        <f>IF(A100="","",IF(K100&gt;=Calendar!$AC$5,TEXT(A100,"yyyymmdd")&amp;"|"&amp;COUNTIFS($A$5:A100,A100,$K$5:K100,"&gt;="&amp;Calendar!$AC$5),""))</f>
        <v/>
      </c>
    </row>
    <row r="101" spans="1:13" ht="18" customHeight="1" x14ac:dyDescent="0.25">
      <c r="A101" s="132"/>
      <c r="B101" s="133"/>
      <c r="C101" s="127"/>
      <c r="D101" s="127"/>
      <c r="E101" s="127"/>
      <c r="F101" s="130"/>
      <c r="G101" s="127"/>
      <c r="H101" s="127"/>
      <c r="I101" s="127"/>
      <c r="J101" s="130"/>
      <c r="K101" s="134" t="str">
        <f t="shared" si="2"/>
        <v/>
      </c>
      <c r="L101" s="135" t="str">
        <f t="shared" si="3"/>
        <v/>
      </c>
      <c r="M101" s="134" t="str">
        <f>IF(A101="","",IF(K101&gt;=Calendar!$AC$5,TEXT(A101,"yyyymmdd")&amp;"|"&amp;COUNTIFS($A$5:A101,A101,$K$5:K101,"&gt;="&amp;Calendar!$AC$5),""))</f>
        <v/>
      </c>
    </row>
    <row r="102" spans="1:13" ht="18" customHeight="1" x14ac:dyDescent="0.25">
      <c r="A102" s="132"/>
      <c r="B102" s="133"/>
      <c r="C102" s="127"/>
      <c r="D102" s="127"/>
      <c r="E102" s="127"/>
      <c r="F102" s="130"/>
      <c r="G102" s="127"/>
      <c r="H102" s="127"/>
      <c r="I102" s="127"/>
      <c r="J102" s="130"/>
      <c r="K102" s="134" t="str">
        <f t="shared" si="2"/>
        <v/>
      </c>
      <c r="L102" s="135" t="str">
        <f t="shared" si="3"/>
        <v/>
      </c>
      <c r="M102" s="134" t="str">
        <f>IF(A102="","",IF(K102&gt;=Calendar!$AC$5,TEXT(A102,"yyyymmdd")&amp;"|"&amp;COUNTIFS($A$5:A102,A102,$K$5:K102,"&gt;="&amp;Calendar!$AC$5),""))</f>
        <v/>
      </c>
    </row>
    <row r="103" spans="1:13" ht="18" customHeight="1" x14ac:dyDescent="0.25">
      <c r="A103" s="132"/>
      <c r="B103" s="133"/>
      <c r="C103" s="127"/>
      <c r="D103" s="127"/>
      <c r="E103" s="127"/>
      <c r="F103" s="130"/>
      <c r="G103" s="127"/>
      <c r="H103" s="127"/>
      <c r="I103" s="127"/>
      <c r="J103" s="130"/>
      <c r="K103" s="134" t="str">
        <f t="shared" si="2"/>
        <v/>
      </c>
      <c r="L103" s="135" t="str">
        <f t="shared" si="3"/>
        <v/>
      </c>
      <c r="M103" s="134" t="str">
        <f>IF(A103="","",IF(K103&gt;=Calendar!$AC$5,TEXT(A103,"yyyymmdd")&amp;"|"&amp;COUNTIFS($A$5:A103,A103,$K$5:K103,"&gt;="&amp;Calendar!$AC$5),""))</f>
        <v/>
      </c>
    </row>
    <row r="104" spans="1:13" ht="18" customHeight="1" x14ac:dyDescent="0.25">
      <c r="A104" s="132"/>
      <c r="B104" s="133"/>
      <c r="C104" s="127"/>
      <c r="D104" s="127"/>
      <c r="E104" s="127"/>
      <c r="F104" s="130"/>
      <c r="G104" s="127"/>
      <c r="H104" s="127"/>
      <c r="I104" s="127"/>
      <c r="J104" s="130"/>
      <c r="K104" s="134" t="str">
        <f t="shared" si="2"/>
        <v/>
      </c>
      <c r="L104" s="135" t="str">
        <f t="shared" si="3"/>
        <v/>
      </c>
      <c r="M104" s="134" t="str">
        <f>IF(A104="","",IF(K104&gt;=Calendar!$AC$5,TEXT(A104,"yyyymmdd")&amp;"|"&amp;COUNTIFS($A$5:A104,A104,$K$5:K104,"&gt;="&amp;Calendar!$AC$5),""))</f>
        <v/>
      </c>
    </row>
    <row r="105" spans="1:13" ht="18" customHeight="1" x14ac:dyDescent="0.25">
      <c r="A105" s="132"/>
      <c r="B105" s="133"/>
      <c r="C105" s="127"/>
      <c r="D105" s="127"/>
      <c r="E105" s="127"/>
      <c r="F105" s="130"/>
      <c r="G105" s="127"/>
      <c r="H105" s="127"/>
      <c r="I105" s="127"/>
      <c r="J105" s="130"/>
      <c r="K105" s="134" t="str">
        <f t="shared" si="2"/>
        <v/>
      </c>
      <c r="L105" s="135" t="str">
        <f t="shared" si="3"/>
        <v/>
      </c>
      <c r="M105" s="134" t="str">
        <f>IF(A105="","",IF(K105&gt;=Calendar!$AC$5,TEXT(A105,"yyyymmdd")&amp;"|"&amp;COUNTIFS($A$5:A105,A105,$K$5:K105,"&gt;="&amp;Calendar!$AC$5),""))</f>
        <v/>
      </c>
    </row>
    <row r="106" spans="1:13" ht="18" customHeight="1" x14ac:dyDescent="0.25">
      <c r="A106" s="132"/>
      <c r="B106" s="133"/>
      <c r="C106" s="127"/>
      <c r="D106" s="127"/>
      <c r="E106" s="127"/>
      <c r="F106" s="130"/>
      <c r="G106" s="127"/>
      <c r="H106" s="127"/>
      <c r="I106" s="127"/>
      <c r="J106" s="130"/>
      <c r="K106" s="134" t="str">
        <f t="shared" si="2"/>
        <v/>
      </c>
      <c r="L106" s="135" t="str">
        <f t="shared" si="3"/>
        <v/>
      </c>
      <c r="M106" s="134" t="str">
        <f>IF(A106="","",IF(K106&gt;=Calendar!$AC$5,TEXT(A106,"yyyymmdd")&amp;"|"&amp;COUNTIFS($A$5:A106,A106,$K$5:K106,"&gt;="&amp;Calendar!$AC$5),""))</f>
        <v/>
      </c>
    </row>
    <row r="107" spans="1:13" ht="18" customHeight="1" x14ac:dyDescent="0.25">
      <c r="A107" s="132"/>
      <c r="B107" s="133"/>
      <c r="C107" s="127"/>
      <c r="D107" s="127"/>
      <c r="E107" s="127"/>
      <c r="F107" s="130"/>
      <c r="G107" s="127"/>
      <c r="H107" s="127"/>
      <c r="I107" s="127"/>
      <c r="J107" s="130"/>
      <c r="K107" s="134" t="str">
        <f t="shared" si="2"/>
        <v/>
      </c>
      <c r="L107" s="135" t="str">
        <f t="shared" si="3"/>
        <v/>
      </c>
      <c r="M107" s="134" t="str">
        <f>IF(A107="","",IF(K107&gt;=Calendar!$AC$5,TEXT(A107,"yyyymmdd")&amp;"|"&amp;COUNTIFS($A$5:A107,A107,$K$5:K107,"&gt;="&amp;Calendar!$AC$5),""))</f>
        <v/>
      </c>
    </row>
    <row r="108" spans="1:13" ht="18" customHeight="1" x14ac:dyDescent="0.25">
      <c r="A108" s="132"/>
      <c r="B108" s="133"/>
      <c r="C108" s="127"/>
      <c r="D108" s="127"/>
      <c r="E108" s="127"/>
      <c r="F108" s="130"/>
      <c r="G108" s="127"/>
      <c r="H108" s="127"/>
      <c r="I108" s="127"/>
      <c r="J108" s="130"/>
      <c r="K108" s="134" t="str">
        <f t="shared" si="2"/>
        <v/>
      </c>
      <c r="L108" s="135" t="str">
        <f t="shared" si="3"/>
        <v/>
      </c>
      <c r="M108" s="134" t="str">
        <f>IF(A108="","",IF(K108&gt;=Calendar!$AC$5,TEXT(A108,"yyyymmdd")&amp;"|"&amp;COUNTIFS($A$5:A108,A108,$K$5:K108,"&gt;="&amp;Calendar!$AC$5),""))</f>
        <v/>
      </c>
    </row>
    <row r="109" spans="1:13" ht="18" customHeight="1" x14ac:dyDescent="0.25">
      <c r="A109" s="132"/>
      <c r="B109" s="133"/>
      <c r="C109" s="127"/>
      <c r="D109" s="127"/>
      <c r="E109" s="127"/>
      <c r="F109" s="130"/>
      <c r="G109" s="127"/>
      <c r="H109" s="127"/>
      <c r="I109" s="127"/>
      <c r="J109" s="130"/>
      <c r="K109" s="134" t="str">
        <f t="shared" si="2"/>
        <v/>
      </c>
      <c r="L109" s="135" t="str">
        <f t="shared" si="3"/>
        <v/>
      </c>
      <c r="M109" s="134" t="str">
        <f>IF(A109="","",IF(K109&gt;=Calendar!$AC$5,TEXT(A109,"yyyymmdd")&amp;"|"&amp;COUNTIFS($A$5:A109,A109,$K$5:K109,"&gt;="&amp;Calendar!$AC$5),""))</f>
        <v/>
      </c>
    </row>
    <row r="110" spans="1:13" ht="18" customHeight="1" x14ac:dyDescent="0.25">
      <c r="A110" s="132"/>
      <c r="B110" s="133"/>
      <c r="C110" s="127"/>
      <c r="D110" s="127"/>
      <c r="E110" s="127"/>
      <c r="F110" s="130"/>
      <c r="G110" s="127"/>
      <c r="H110" s="127"/>
      <c r="I110" s="127"/>
      <c r="J110" s="130"/>
      <c r="K110" s="134" t="str">
        <f t="shared" si="2"/>
        <v/>
      </c>
      <c r="L110" s="135" t="str">
        <f t="shared" si="3"/>
        <v/>
      </c>
      <c r="M110" s="134" t="str">
        <f>IF(A110="","",IF(K110&gt;=Calendar!$AC$5,TEXT(A110,"yyyymmdd")&amp;"|"&amp;COUNTIFS($A$5:A110,A110,$K$5:K110,"&gt;="&amp;Calendar!$AC$5),""))</f>
        <v/>
      </c>
    </row>
    <row r="111" spans="1:13" ht="18" customHeight="1" x14ac:dyDescent="0.25">
      <c r="A111" s="132"/>
      <c r="B111" s="133"/>
      <c r="C111" s="127"/>
      <c r="D111" s="127"/>
      <c r="E111" s="127"/>
      <c r="F111" s="130"/>
      <c r="G111" s="127"/>
      <c r="H111" s="127"/>
      <c r="I111" s="127"/>
      <c r="J111" s="130"/>
      <c r="K111" s="134" t="str">
        <f t="shared" si="2"/>
        <v/>
      </c>
      <c r="L111" s="135" t="str">
        <f t="shared" si="3"/>
        <v/>
      </c>
      <c r="M111" s="134" t="str">
        <f>IF(A111="","",IF(K111&gt;=Calendar!$AC$5,TEXT(A111,"yyyymmdd")&amp;"|"&amp;COUNTIFS($A$5:A111,A111,$K$5:K111,"&gt;="&amp;Calendar!$AC$5),""))</f>
        <v/>
      </c>
    </row>
    <row r="112" spans="1:13" ht="18" customHeight="1" x14ac:dyDescent="0.25">
      <c r="A112" s="132"/>
      <c r="B112" s="133"/>
      <c r="C112" s="127"/>
      <c r="D112" s="127"/>
      <c r="E112" s="127"/>
      <c r="F112" s="130"/>
      <c r="G112" s="127"/>
      <c r="H112" s="127"/>
      <c r="I112" s="127"/>
      <c r="J112" s="130"/>
      <c r="K112" s="134" t="str">
        <f t="shared" si="2"/>
        <v/>
      </c>
      <c r="L112" s="135" t="str">
        <f t="shared" si="3"/>
        <v/>
      </c>
      <c r="M112" s="134" t="str">
        <f>IF(A112="","",IF(K112&gt;=Calendar!$AC$5,TEXT(A112,"yyyymmdd")&amp;"|"&amp;COUNTIFS($A$5:A112,A112,$K$5:K112,"&gt;="&amp;Calendar!$AC$5),""))</f>
        <v/>
      </c>
    </row>
    <row r="113" spans="1:13" ht="18" customHeight="1" x14ac:dyDescent="0.25">
      <c r="A113" s="132"/>
      <c r="B113" s="133"/>
      <c r="C113" s="127"/>
      <c r="D113" s="127"/>
      <c r="E113" s="127"/>
      <c r="F113" s="130"/>
      <c r="G113" s="127"/>
      <c r="H113" s="127"/>
      <c r="I113" s="127"/>
      <c r="J113" s="130"/>
      <c r="K113" s="134" t="str">
        <f t="shared" si="2"/>
        <v/>
      </c>
      <c r="L113" s="135" t="str">
        <f t="shared" si="3"/>
        <v/>
      </c>
      <c r="M113" s="134" t="str">
        <f>IF(A113="","",IF(K113&gt;=Calendar!$AC$5,TEXT(A113,"yyyymmdd")&amp;"|"&amp;COUNTIFS($A$5:A113,A113,$K$5:K113,"&gt;="&amp;Calendar!$AC$5),""))</f>
        <v/>
      </c>
    </row>
    <row r="114" spans="1:13" ht="18" customHeight="1" x14ac:dyDescent="0.25">
      <c r="A114" s="132"/>
      <c r="B114" s="133"/>
      <c r="C114" s="127"/>
      <c r="D114" s="127"/>
      <c r="E114" s="127"/>
      <c r="F114" s="130"/>
      <c r="G114" s="127"/>
      <c r="H114" s="127"/>
      <c r="I114" s="127"/>
      <c r="J114" s="130"/>
      <c r="K114" s="134" t="str">
        <f t="shared" si="2"/>
        <v/>
      </c>
      <c r="L114" s="135" t="str">
        <f t="shared" si="3"/>
        <v/>
      </c>
      <c r="M114" s="134" t="str">
        <f>IF(A114="","",IF(K114&gt;=Calendar!$AC$5,TEXT(A114,"yyyymmdd")&amp;"|"&amp;COUNTIFS($A$5:A114,A114,$K$5:K114,"&gt;="&amp;Calendar!$AC$5),""))</f>
        <v/>
      </c>
    </row>
    <row r="115" spans="1:13" ht="18" customHeight="1" x14ac:dyDescent="0.25">
      <c r="A115" s="132"/>
      <c r="B115" s="133"/>
      <c r="C115" s="127"/>
      <c r="D115" s="127"/>
      <c r="E115" s="127"/>
      <c r="F115" s="130"/>
      <c r="G115" s="127"/>
      <c r="H115" s="127"/>
      <c r="I115" s="127"/>
      <c r="J115" s="130"/>
      <c r="K115" s="134" t="str">
        <f t="shared" si="2"/>
        <v/>
      </c>
      <c r="L115" s="135" t="str">
        <f t="shared" si="3"/>
        <v/>
      </c>
      <c r="M115" s="134" t="str">
        <f>IF(A115="","",IF(K115&gt;=Calendar!$AC$5,TEXT(A115,"yyyymmdd")&amp;"|"&amp;COUNTIFS($A$5:A115,A115,$K$5:K115,"&gt;="&amp;Calendar!$AC$5),""))</f>
        <v/>
      </c>
    </row>
    <row r="116" spans="1:13" ht="18" customHeight="1" x14ac:dyDescent="0.25">
      <c r="A116" s="132"/>
      <c r="B116" s="133"/>
      <c r="C116" s="127"/>
      <c r="D116" s="127"/>
      <c r="E116" s="127"/>
      <c r="F116" s="130"/>
      <c r="G116" s="127"/>
      <c r="H116" s="127"/>
      <c r="I116" s="127"/>
      <c r="J116" s="130"/>
      <c r="K116" s="134" t="str">
        <f t="shared" si="2"/>
        <v/>
      </c>
      <c r="L116" s="135" t="str">
        <f t="shared" si="3"/>
        <v/>
      </c>
      <c r="M116" s="134" t="str">
        <f>IF(A116="","",IF(K116&gt;=Calendar!$AC$5,TEXT(A116,"yyyymmdd")&amp;"|"&amp;COUNTIFS($A$5:A116,A116,$K$5:K116,"&gt;="&amp;Calendar!$AC$5),""))</f>
        <v/>
      </c>
    </row>
    <row r="117" spans="1:13" ht="18" customHeight="1" x14ac:dyDescent="0.25">
      <c r="A117" s="132"/>
      <c r="B117" s="133"/>
      <c r="C117" s="127"/>
      <c r="D117" s="127"/>
      <c r="E117" s="127"/>
      <c r="F117" s="130"/>
      <c r="G117" s="127"/>
      <c r="H117" s="127"/>
      <c r="I117" s="127"/>
      <c r="J117" s="130"/>
      <c r="K117" s="134" t="str">
        <f t="shared" si="2"/>
        <v/>
      </c>
      <c r="L117" s="135" t="str">
        <f t="shared" si="3"/>
        <v/>
      </c>
      <c r="M117" s="134" t="str">
        <f>IF(A117="","",IF(K117&gt;=Calendar!$AC$5,TEXT(A117,"yyyymmdd")&amp;"|"&amp;COUNTIFS($A$5:A117,A117,$K$5:K117,"&gt;="&amp;Calendar!$AC$5),""))</f>
        <v/>
      </c>
    </row>
    <row r="118" spans="1:13" ht="18" customHeight="1" x14ac:dyDescent="0.25">
      <c r="A118" s="132"/>
      <c r="B118" s="133"/>
      <c r="C118" s="127"/>
      <c r="D118" s="127"/>
      <c r="E118" s="127"/>
      <c r="F118" s="130"/>
      <c r="G118" s="127"/>
      <c r="H118" s="127"/>
      <c r="I118" s="127"/>
      <c r="J118" s="130"/>
      <c r="K118" s="134" t="str">
        <f t="shared" si="2"/>
        <v/>
      </c>
      <c r="L118" s="135" t="str">
        <f t="shared" si="3"/>
        <v/>
      </c>
      <c r="M118" s="134" t="str">
        <f>IF(A118="","",IF(K118&gt;=Calendar!$AC$5,TEXT(A118,"yyyymmdd")&amp;"|"&amp;COUNTIFS($A$5:A118,A118,$K$5:K118,"&gt;="&amp;Calendar!$AC$5),""))</f>
        <v/>
      </c>
    </row>
    <row r="119" spans="1:13" ht="18" customHeight="1" x14ac:dyDescent="0.25">
      <c r="A119" s="132"/>
      <c r="B119" s="133"/>
      <c r="C119" s="127"/>
      <c r="D119" s="127"/>
      <c r="E119" s="127"/>
      <c r="F119" s="130"/>
      <c r="G119" s="127"/>
      <c r="H119" s="127"/>
      <c r="I119" s="127"/>
      <c r="J119" s="130"/>
      <c r="K119" s="134" t="str">
        <f t="shared" si="2"/>
        <v/>
      </c>
      <c r="L119" s="135" t="str">
        <f t="shared" si="3"/>
        <v/>
      </c>
      <c r="M119" s="134" t="str">
        <f>IF(A119="","",IF(K119&gt;=Calendar!$AC$5,TEXT(A119,"yyyymmdd")&amp;"|"&amp;COUNTIFS($A$5:A119,A119,$K$5:K119,"&gt;="&amp;Calendar!$AC$5),""))</f>
        <v/>
      </c>
    </row>
    <row r="120" spans="1:13" ht="18" customHeight="1" x14ac:dyDescent="0.25">
      <c r="A120" s="132"/>
      <c r="B120" s="133"/>
      <c r="C120" s="127"/>
      <c r="D120" s="127"/>
      <c r="E120" s="127"/>
      <c r="F120" s="130"/>
      <c r="G120" s="127"/>
      <c r="H120" s="127"/>
      <c r="I120" s="127"/>
      <c r="J120" s="130"/>
      <c r="K120" s="134" t="str">
        <f t="shared" si="2"/>
        <v/>
      </c>
      <c r="L120" s="135" t="str">
        <f t="shared" si="3"/>
        <v/>
      </c>
      <c r="M120" s="134" t="str">
        <f>IF(A120="","",IF(K120&gt;=Calendar!$AC$5,TEXT(A120,"yyyymmdd")&amp;"|"&amp;COUNTIFS($A$5:A120,A120,$K$5:K120,"&gt;="&amp;Calendar!$AC$5),""))</f>
        <v/>
      </c>
    </row>
    <row r="121" spans="1:13" ht="18" customHeight="1" x14ac:dyDescent="0.25">
      <c r="A121" s="132"/>
      <c r="B121" s="133"/>
      <c r="C121" s="127"/>
      <c r="D121" s="127"/>
      <c r="E121" s="127"/>
      <c r="F121" s="130"/>
      <c r="G121" s="127"/>
      <c r="H121" s="127"/>
      <c r="I121" s="127"/>
      <c r="J121" s="130"/>
      <c r="K121" s="134" t="str">
        <f t="shared" si="2"/>
        <v/>
      </c>
      <c r="L121" s="135" t="str">
        <f t="shared" si="3"/>
        <v/>
      </c>
      <c r="M121" s="134" t="str">
        <f>IF(A121="","",IF(K121&gt;=Calendar!$AC$5,TEXT(A121,"yyyymmdd")&amp;"|"&amp;COUNTIFS($A$5:A121,A121,$K$5:K121,"&gt;="&amp;Calendar!$AC$5),""))</f>
        <v/>
      </c>
    </row>
    <row r="122" spans="1:13" ht="18" customHeight="1" x14ac:dyDescent="0.25">
      <c r="A122" s="132"/>
      <c r="B122" s="133"/>
      <c r="C122" s="127"/>
      <c r="D122" s="127"/>
      <c r="E122" s="127"/>
      <c r="F122" s="130"/>
      <c r="G122" s="127"/>
      <c r="H122" s="127"/>
      <c r="I122" s="127"/>
      <c r="J122" s="130"/>
      <c r="K122" s="134" t="str">
        <f t="shared" si="2"/>
        <v/>
      </c>
      <c r="L122" s="135" t="str">
        <f t="shared" si="3"/>
        <v/>
      </c>
      <c r="M122" s="134" t="str">
        <f>IF(A122="","",IF(K122&gt;=Calendar!$AC$5,TEXT(A122,"yyyymmdd")&amp;"|"&amp;COUNTIFS($A$5:A122,A122,$K$5:K122,"&gt;="&amp;Calendar!$AC$5),""))</f>
        <v/>
      </c>
    </row>
    <row r="123" spans="1:13" ht="18" customHeight="1" x14ac:dyDescent="0.25">
      <c r="A123" s="132"/>
      <c r="B123" s="133"/>
      <c r="C123" s="127"/>
      <c r="D123" s="127"/>
      <c r="E123" s="127"/>
      <c r="F123" s="130"/>
      <c r="G123" s="127"/>
      <c r="H123" s="127"/>
      <c r="I123" s="127"/>
      <c r="J123" s="130"/>
      <c r="K123" s="134" t="str">
        <f t="shared" si="2"/>
        <v/>
      </c>
      <c r="L123" s="135" t="str">
        <f t="shared" si="3"/>
        <v/>
      </c>
      <c r="M123" s="134" t="str">
        <f>IF(A123="","",IF(K123&gt;=Calendar!$AC$5,TEXT(A123,"yyyymmdd")&amp;"|"&amp;COUNTIFS($A$5:A123,A123,$K$5:K123,"&gt;="&amp;Calendar!$AC$5),""))</f>
        <v/>
      </c>
    </row>
    <row r="124" spans="1:13" ht="18" customHeight="1" x14ac:dyDescent="0.25">
      <c r="A124" s="132"/>
      <c r="B124" s="133"/>
      <c r="C124" s="127"/>
      <c r="D124" s="127"/>
      <c r="E124" s="127"/>
      <c r="F124" s="130"/>
      <c r="G124" s="127"/>
      <c r="H124" s="127"/>
      <c r="I124" s="127"/>
      <c r="J124" s="130"/>
      <c r="K124" s="134" t="str">
        <f t="shared" si="2"/>
        <v/>
      </c>
      <c r="L124" s="135" t="str">
        <f t="shared" si="3"/>
        <v/>
      </c>
      <c r="M124" s="134" t="str">
        <f>IF(A124="","",IF(K124&gt;=Calendar!$AC$5,TEXT(A124,"yyyymmdd")&amp;"|"&amp;COUNTIFS($A$5:A124,A124,$K$5:K124,"&gt;="&amp;Calendar!$AC$5),""))</f>
        <v/>
      </c>
    </row>
    <row r="125" spans="1:13" ht="18" customHeight="1" x14ac:dyDescent="0.25">
      <c r="A125" s="132"/>
      <c r="B125" s="133"/>
      <c r="C125" s="127"/>
      <c r="D125" s="127"/>
      <c r="E125" s="127"/>
      <c r="F125" s="130"/>
      <c r="G125" s="127"/>
      <c r="H125" s="127"/>
      <c r="I125" s="127"/>
      <c r="J125" s="130"/>
      <c r="K125" s="134" t="str">
        <f t="shared" si="2"/>
        <v/>
      </c>
      <c r="L125" s="135" t="str">
        <f t="shared" si="3"/>
        <v/>
      </c>
      <c r="M125" s="134" t="str">
        <f>IF(A125="","",IF(K125&gt;=Calendar!$AC$5,TEXT(A125,"yyyymmdd")&amp;"|"&amp;COUNTIFS($A$5:A125,A125,$K$5:K125,"&gt;="&amp;Calendar!$AC$5),""))</f>
        <v/>
      </c>
    </row>
    <row r="126" spans="1:13" ht="18" customHeight="1" x14ac:dyDescent="0.25">
      <c r="A126" s="132"/>
      <c r="B126" s="133"/>
      <c r="C126" s="127"/>
      <c r="D126" s="127"/>
      <c r="E126" s="127"/>
      <c r="F126" s="130"/>
      <c r="G126" s="127"/>
      <c r="H126" s="127"/>
      <c r="I126" s="127"/>
      <c r="J126" s="130"/>
      <c r="K126" s="134" t="str">
        <f t="shared" si="2"/>
        <v/>
      </c>
      <c r="L126" s="135" t="str">
        <f t="shared" si="3"/>
        <v/>
      </c>
      <c r="M126" s="134" t="str">
        <f>IF(A126="","",IF(K126&gt;=Calendar!$AC$5,TEXT(A126,"yyyymmdd")&amp;"|"&amp;COUNTIFS($A$5:A126,A126,$K$5:K126,"&gt;="&amp;Calendar!$AC$5),""))</f>
        <v/>
      </c>
    </row>
    <row r="127" spans="1:13" ht="18" customHeight="1" x14ac:dyDescent="0.25">
      <c r="A127" s="132"/>
      <c r="B127" s="133"/>
      <c r="C127" s="127"/>
      <c r="D127" s="127"/>
      <c r="E127" s="127"/>
      <c r="F127" s="130"/>
      <c r="G127" s="127"/>
      <c r="H127" s="127"/>
      <c r="I127" s="127"/>
      <c r="J127" s="130"/>
      <c r="K127" s="134" t="str">
        <f t="shared" si="2"/>
        <v/>
      </c>
      <c r="L127" s="135" t="str">
        <f t="shared" si="3"/>
        <v/>
      </c>
      <c r="M127" s="134" t="str">
        <f>IF(A127="","",IF(K127&gt;=Calendar!$AC$5,TEXT(A127,"yyyymmdd")&amp;"|"&amp;COUNTIFS($A$5:A127,A127,$K$5:K127,"&gt;="&amp;Calendar!$AC$5),""))</f>
        <v/>
      </c>
    </row>
    <row r="128" spans="1:13" ht="18" customHeight="1" x14ac:dyDescent="0.25">
      <c r="A128" s="132"/>
      <c r="B128" s="133"/>
      <c r="C128" s="127"/>
      <c r="D128" s="127"/>
      <c r="E128" s="127"/>
      <c r="F128" s="130"/>
      <c r="G128" s="127"/>
      <c r="H128" s="127"/>
      <c r="I128" s="127"/>
      <c r="J128" s="130"/>
      <c r="K128" s="134" t="str">
        <f t="shared" si="2"/>
        <v/>
      </c>
      <c r="L128" s="135" t="str">
        <f t="shared" si="3"/>
        <v/>
      </c>
      <c r="M128" s="134" t="str">
        <f>IF(A128="","",IF(K128&gt;=Calendar!$AC$5,TEXT(A128,"yyyymmdd")&amp;"|"&amp;COUNTIFS($A$5:A128,A128,$K$5:K128,"&gt;="&amp;Calendar!$AC$5),""))</f>
        <v/>
      </c>
    </row>
    <row r="129" spans="1:13" ht="18" customHeight="1" x14ac:dyDescent="0.25">
      <c r="A129" s="132"/>
      <c r="B129" s="133"/>
      <c r="C129" s="127"/>
      <c r="D129" s="127"/>
      <c r="E129" s="127"/>
      <c r="F129" s="130"/>
      <c r="G129" s="127"/>
      <c r="H129" s="127"/>
      <c r="I129" s="127"/>
      <c r="J129" s="130"/>
      <c r="K129" s="134" t="str">
        <f t="shared" si="2"/>
        <v/>
      </c>
      <c r="L129" s="135" t="str">
        <f t="shared" si="3"/>
        <v/>
      </c>
      <c r="M129" s="134" t="str">
        <f>IF(A129="","",IF(K129&gt;=Calendar!$AC$5,TEXT(A129,"yyyymmdd")&amp;"|"&amp;COUNTIFS($A$5:A129,A129,$K$5:K129,"&gt;="&amp;Calendar!$AC$5),""))</f>
        <v/>
      </c>
    </row>
    <row r="130" spans="1:13" ht="18" customHeight="1" x14ac:dyDescent="0.25">
      <c r="A130" s="132"/>
      <c r="B130" s="133"/>
      <c r="C130" s="127"/>
      <c r="D130" s="127"/>
      <c r="E130" s="127"/>
      <c r="F130" s="130"/>
      <c r="G130" s="127"/>
      <c r="H130" s="127"/>
      <c r="I130" s="127"/>
      <c r="J130" s="130"/>
      <c r="K130" s="134" t="str">
        <f t="shared" si="2"/>
        <v/>
      </c>
      <c r="L130" s="135" t="str">
        <f t="shared" si="3"/>
        <v/>
      </c>
      <c r="M130" s="134" t="str">
        <f>IF(A130="","",IF(K130&gt;=Calendar!$AC$5,TEXT(A130,"yyyymmdd")&amp;"|"&amp;COUNTIFS($A$5:A130,A130,$K$5:K130,"&gt;="&amp;Calendar!$AC$5),""))</f>
        <v/>
      </c>
    </row>
    <row r="131" spans="1:13" ht="18" customHeight="1" x14ac:dyDescent="0.25">
      <c r="A131" s="132"/>
      <c r="B131" s="133"/>
      <c r="C131" s="127"/>
      <c r="D131" s="127"/>
      <c r="E131" s="127"/>
      <c r="F131" s="130"/>
      <c r="G131" s="127"/>
      <c r="H131" s="127"/>
      <c r="I131" s="127"/>
      <c r="J131" s="130"/>
      <c r="K131" s="134" t="str">
        <f t="shared" si="2"/>
        <v/>
      </c>
      <c r="L131" s="135" t="str">
        <f t="shared" si="3"/>
        <v/>
      </c>
      <c r="M131" s="134" t="str">
        <f>IF(A131="","",IF(K131&gt;=Calendar!$AC$5,TEXT(A131,"yyyymmdd")&amp;"|"&amp;COUNTIFS($A$5:A131,A131,$K$5:K131,"&gt;="&amp;Calendar!$AC$5),""))</f>
        <v/>
      </c>
    </row>
    <row r="132" spans="1:13" ht="18" customHeight="1" x14ac:dyDescent="0.25">
      <c r="A132" s="132"/>
      <c r="B132" s="133"/>
      <c r="C132" s="127"/>
      <c r="D132" s="127"/>
      <c r="E132" s="127"/>
      <c r="F132" s="130"/>
      <c r="G132" s="127"/>
      <c r="H132" s="127"/>
      <c r="I132" s="127"/>
      <c r="J132" s="130"/>
      <c r="K132" s="134" t="str">
        <f t="shared" si="2"/>
        <v/>
      </c>
      <c r="L132" s="135" t="str">
        <f t="shared" si="3"/>
        <v/>
      </c>
      <c r="M132" s="134" t="str">
        <f>IF(A132="","",IF(K132&gt;=Calendar!$AC$5,TEXT(A132,"yyyymmdd")&amp;"|"&amp;COUNTIFS($A$5:A132,A132,$K$5:K132,"&gt;="&amp;Calendar!$AC$5),""))</f>
        <v/>
      </c>
    </row>
    <row r="133" spans="1:13" ht="18" customHeight="1" x14ac:dyDescent="0.25">
      <c r="A133" s="132"/>
      <c r="B133" s="133"/>
      <c r="C133" s="127"/>
      <c r="D133" s="127"/>
      <c r="E133" s="127"/>
      <c r="F133" s="130"/>
      <c r="G133" s="127"/>
      <c r="H133" s="127"/>
      <c r="I133" s="127"/>
      <c r="J133" s="130"/>
      <c r="K133" s="134" t="str">
        <f t="shared" ref="K133:K196" si="4">IF(A133="","",IF(D133="High",3,IF(OR(D133="Medium",D133="Holiday"),2,1)))</f>
        <v/>
      </c>
      <c r="L133" s="135" t="str">
        <f t="shared" ref="L133:L196" si="5">IF(A133="","",A133+B133)</f>
        <v/>
      </c>
      <c r="M133" s="134" t="str">
        <f>IF(A133="","",IF(K133&gt;=Calendar!$AC$5,TEXT(A133,"yyyymmdd")&amp;"|"&amp;COUNTIFS($A$5:A133,A133,$K$5:K133,"&gt;="&amp;Calendar!$AC$5),""))</f>
        <v/>
      </c>
    </row>
    <row r="134" spans="1:13" ht="18" customHeight="1" x14ac:dyDescent="0.25">
      <c r="A134" s="132"/>
      <c r="B134" s="133"/>
      <c r="C134" s="127"/>
      <c r="D134" s="127"/>
      <c r="E134" s="127"/>
      <c r="F134" s="130"/>
      <c r="G134" s="127"/>
      <c r="H134" s="127"/>
      <c r="I134" s="127"/>
      <c r="J134" s="130"/>
      <c r="K134" s="134" t="str">
        <f t="shared" si="4"/>
        <v/>
      </c>
      <c r="L134" s="135" t="str">
        <f t="shared" si="5"/>
        <v/>
      </c>
      <c r="M134" s="134" t="str">
        <f>IF(A134="","",IF(K134&gt;=Calendar!$AC$5,TEXT(A134,"yyyymmdd")&amp;"|"&amp;COUNTIFS($A$5:A134,A134,$K$5:K134,"&gt;="&amp;Calendar!$AC$5),""))</f>
        <v/>
      </c>
    </row>
    <row r="135" spans="1:13" ht="18" customHeight="1" x14ac:dyDescent="0.25">
      <c r="A135" s="132"/>
      <c r="B135" s="133"/>
      <c r="C135" s="127"/>
      <c r="D135" s="127"/>
      <c r="E135" s="127"/>
      <c r="F135" s="130"/>
      <c r="G135" s="127"/>
      <c r="H135" s="127"/>
      <c r="I135" s="127"/>
      <c r="J135" s="130"/>
      <c r="K135" s="134" t="str">
        <f t="shared" si="4"/>
        <v/>
      </c>
      <c r="L135" s="135" t="str">
        <f t="shared" si="5"/>
        <v/>
      </c>
      <c r="M135" s="134" t="str">
        <f>IF(A135="","",IF(K135&gt;=Calendar!$AC$5,TEXT(A135,"yyyymmdd")&amp;"|"&amp;COUNTIFS($A$5:A135,A135,$K$5:K135,"&gt;="&amp;Calendar!$AC$5),""))</f>
        <v/>
      </c>
    </row>
    <row r="136" spans="1:13" ht="18" customHeight="1" x14ac:dyDescent="0.25">
      <c r="A136" s="132"/>
      <c r="B136" s="133"/>
      <c r="C136" s="127"/>
      <c r="D136" s="127"/>
      <c r="E136" s="127"/>
      <c r="F136" s="130"/>
      <c r="G136" s="127"/>
      <c r="H136" s="127"/>
      <c r="I136" s="127"/>
      <c r="J136" s="130"/>
      <c r="K136" s="134" t="str">
        <f t="shared" si="4"/>
        <v/>
      </c>
      <c r="L136" s="135" t="str">
        <f t="shared" si="5"/>
        <v/>
      </c>
      <c r="M136" s="134" t="str">
        <f>IF(A136="","",IF(K136&gt;=Calendar!$AC$5,TEXT(A136,"yyyymmdd")&amp;"|"&amp;COUNTIFS($A$5:A136,A136,$K$5:K136,"&gt;="&amp;Calendar!$AC$5),""))</f>
        <v/>
      </c>
    </row>
    <row r="137" spans="1:13" ht="18" customHeight="1" x14ac:dyDescent="0.25">
      <c r="A137" s="132"/>
      <c r="B137" s="133"/>
      <c r="C137" s="127"/>
      <c r="D137" s="127"/>
      <c r="E137" s="127"/>
      <c r="F137" s="130"/>
      <c r="G137" s="127"/>
      <c r="H137" s="127"/>
      <c r="I137" s="127"/>
      <c r="J137" s="130"/>
      <c r="K137" s="134" t="str">
        <f t="shared" si="4"/>
        <v/>
      </c>
      <c r="L137" s="135" t="str">
        <f t="shared" si="5"/>
        <v/>
      </c>
      <c r="M137" s="134" t="str">
        <f>IF(A137="","",IF(K137&gt;=Calendar!$AC$5,TEXT(A137,"yyyymmdd")&amp;"|"&amp;COUNTIFS($A$5:A137,A137,$K$5:K137,"&gt;="&amp;Calendar!$AC$5),""))</f>
        <v/>
      </c>
    </row>
    <row r="138" spans="1:13" ht="18" customHeight="1" x14ac:dyDescent="0.25">
      <c r="A138" s="132"/>
      <c r="B138" s="133"/>
      <c r="C138" s="127"/>
      <c r="D138" s="127"/>
      <c r="E138" s="127"/>
      <c r="F138" s="130"/>
      <c r="G138" s="127"/>
      <c r="H138" s="127"/>
      <c r="I138" s="127"/>
      <c r="J138" s="130"/>
      <c r="K138" s="134" t="str">
        <f t="shared" si="4"/>
        <v/>
      </c>
      <c r="L138" s="135" t="str">
        <f t="shared" si="5"/>
        <v/>
      </c>
      <c r="M138" s="134" t="str">
        <f>IF(A138="","",IF(K138&gt;=Calendar!$AC$5,TEXT(A138,"yyyymmdd")&amp;"|"&amp;COUNTIFS($A$5:A138,A138,$K$5:K138,"&gt;="&amp;Calendar!$AC$5),""))</f>
        <v/>
      </c>
    </row>
    <row r="139" spans="1:13" ht="18" customHeight="1" x14ac:dyDescent="0.25">
      <c r="A139" s="132"/>
      <c r="B139" s="133"/>
      <c r="C139" s="127"/>
      <c r="D139" s="127"/>
      <c r="E139" s="127"/>
      <c r="F139" s="130"/>
      <c r="G139" s="127"/>
      <c r="H139" s="127"/>
      <c r="I139" s="127"/>
      <c r="J139" s="130"/>
      <c r="K139" s="134" t="str">
        <f t="shared" si="4"/>
        <v/>
      </c>
      <c r="L139" s="135" t="str">
        <f t="shared" si="5"/>
        <v/>
      </c>
      <c r="M139" s="134" t="str">
        <f>IF(A139="","",IF(K139&gt;=Calendar!$AC$5,TEXT(A139,"yyyymmdd")&amp;"|"&amp;COUNTIFS($A$5:A139,A139,$K$5:K139,"&gt;="&amp;Calendar!$AC$5),""))</f>
        <v/>
      </c>
    </row>
    <row r="140" spans="1:13" ht="18" customHeight="1" x14ac:dyDescent="0.25">
      <c r="A140" s="132"/>
      <c r="B140" s="133"/>
      <c r="C140" s="127"/>
      <c r="D140" s="127"/>
      <c r="E140" s="127"/>
      <c r="F140" s="130"/>
      <c r="G140" s="127"/>
      <c r="H140" s="127"/>
      <c r="I140" s="127"/>
      <c r="J140" s="130"/>
      <c r="K140" s="134" t="str">
        <f t="shared" si="4"/>
        <v/>
      </c>
      <c r="L140" s="135" t="str">
        <f t="shared" si="5"/>
        <v/>
      </c>
      <c r="M140" s="134" t="str">
        <f>IF(A140="","",IF(K140&gt;=Calendar!$AC$5,TEXT(A140,"yyyymmdd")&amp;"|"&amp;COUNTIFS($A$5:A140,A140,$K$5:K140,"&gt;="&amp;Calendar!$AC$5),""))</f>
        <v/>
      </c>
    </row>
    <row r="141" spans="1:13" ht="18" customHeight="1" x14ac:dyDescent="0.25">
      <c r="A141" s="132"/>
      <c r="B141" s="133"/>
      <c r="C141" s="127"/>
      <c r="D141" s="127"/>
      <c r="E141" s="127"/>
      <c r="F141" s="130"/>
      <c r="G141" s="127"/>
      <c r="H141" s="127"/>
      <c r="I141" s="127"/>
      <c r="J141" s="130"/>
      <c r="K141" s="134" t="str">
        <f t="shared" si="4"/>
        <v/>
      </c>
      <c r="L141" s="135" t="str">
        <f t="shared" si="5"/>
        <v/>
      </c>
      <c r="M141" s="134" t="str">
        <f>IF(A141="","",IF(K141&gt;=Calendar!$AC$5,TEXT(A141,"yyyymmdd")&amp;"|"&amp;COUNTIFS($A$5:A141,A141,$K$5:K141,"&gt;="&amp;Calendar!$AC$5),""))</f>
        <v/>
      </c>
    </row>
    <row r="142" spans="1:13" ht="18" customHeight="1" x14ac:dyDescent="0.25">
      <c r="A142" s="132"/>
      <c r="B142" s="133"/>
      <c r="C142" s="127"/>
      <c r="D142" s="127"/>
      <c r="E142" s="127"/>
      <c r="F142" s="130"/>
      <c r="G142" s="127"/>
      <c r="H142" s="127"/>
      <c r="I142" s="127"/>
      <c r="J142" s="130"/>
      <c r="K142" s="134" t="str">
        <f t="shared" si="4"/>
        <v/>
      </c>
      <c r="L142" s="135" t="str">
        <f t="shared" si="5"/>
        <v/>
      </c>
      <c r="M142" s="134" t="str">
        <f>IF(A142="","",IF(K142&gt;=Calendar!$AC$5,TEXT(A142,"yyyymmdd")&amp;"|"&amp;COUNTIFS($A$5:A142,A142,$K$5:K142,"&gt;="&amp;Calendar!$AC$5),""))</f>
        <v/>
      </c>
    </row>
    <row r="143" spans="1:13" ht="18" customHeight="1" x14ac:dyDescent="0.25">
      <c r="A143" s="132"/>
      <c r="B143" s="133"/>
      <c r="C143" s="127"/>
      <c r="D143" s="127"/>
      <c r="E143" s="127"/>
      <c r="F143" s="130"/>
      <c r="G143" s="127"/>
      <c r="H143" s="127"/>
      <c r="I143" s="127"/>
      <c r="J143" s="130"/>
      <c r="K143" s="134" t="str">
        <f t="shared" si="4"/>
        <v/>
      </c>
      <c r="L143" s="135" t="str">
        <f t="shared" si="5"/>
        <v/>
      </c>
      <c r="M143" s="134" t="str">
        <f>IF(A143="","",IF(K143&gt;=Calendar!$AC$5,TEXT(A143,"yyyymmdd")&amp;"|"&amp;COUNTIFS($A$5:A143,A143,$K$5:K143,"&gt;="&amp;Calendar!$AC$5),""))</f>
        <v/>
      </c>
    </row>
    <row r="144" spans="1:13" ht="18" customHeight="1" x14ac:dyDescent="0.25">
      <c r="A144" s="132"/>
      <c r="B144" s="133"/>
      <c r="C144" s="127"/>
      <c r="D144" s="127"/>
      <c r="E144" s="127"/>
      <c r="F144" s="130"/>
      <c r="G144" s="127"/>
      <c r="H144" s="127"/>
      <c r="I144" s="127"/>
      <c r="J144" s="130"/>
      <c r="K144" s="134" t="str">
        <f t="shared" si="4"/>
        <v/>
      </c>
      <c r="L144" s="135" t="str">
        <f t="shared" si="5"/>
        <v/>
      </c>
      <c r="M144" s="134" t="str">
        <f>IF(A144="","",IF(K144&gt;=Calendar!$AC$5,TEXT(A144,"yyyymmdd")&amp;"|"&amp;COUNTIFS($A$5:A144,A144,$K$5:K144,"&gt;="&amp;Calendar!$AC$5),""))</f>
        <v/>
      </c>
    </row>
    <row r="145" spans="1:13" ht="18" customHeight="1" x14ac:dyDescent="0.25">
      <c r="A145" s="132"/>
      <c r="B145" s="133"/>
      <c r="C145" s="127"/>
      <c r="D145" s="127"/>
      <c r="E145" s="127"/>
      <c r="F145" s="130"/>
      <c r="G145" s="127"/>
      <c r="H145" s="127"/>
      <c r="I145" s="127"/>
      <c r="J145" s="130"/>
      <c r="K145" s="134" t="str">
        <f t="shared" si="4"/>
        <v/>
      </c>
      <c r="L145" s="135" t="str">
        <f t="shared" si="5"/>
        <v/>
      </c>
      <c r="M145" s="134" t="str">
        <f>IF(A145="","",IF(K145&gt;=Calendar!$AC$5,TEXT(A145,"yyyymmdd")&amp;"|"&amp;COUNTIFS($A$5:A145,A145,$K$5:K145,"&gt;="&amp;Calendar!$AC$5),""))</f>
        <v/>
      </c>
    </row>
    <row r="146" spans="1:13" ht="18" customHeight="1" x14ac:dyDescent="0.25">
      <c r="A146" s="132"/>
      <c r="B146" s="133"/>
      <c r="C146" s="127"/>
      <c r="D146" s="127"/>
      <c r="E146" s="127"/>
      <c r="F146" s="130"/>
      <c r="G146" s="127"/>
      <c r="H146" s="127"/>
      <c r="I146" s="127"/>
      <c r="J146" s="130"/>
      <c r="K146" s="134" t="str">
        <f t="shared" si="4"/>
        <v/>
      </c>
      <c r="L146" s="135" t="str">
        <f t="shared" si="5"/>
        <v/>
      </c>
      <c r="M146" s="134" t="str">
        <f>IF(A146="","",IF(K146&gt;=Calendar!$AC$5,TEXT(A146,"yyyymmdd")&amp;"|"&amp;COUNTIFS($A$5:A146,A146,$K$5:K146,"&gt;="&amp;Calendar!$AC$5),""))</f>
        <v/>
      </c>
    </row>
    <row r="147" spans="1:13" ht="18" customHeight="1" x14ac:dyDescent="0.25">
      <c r="A147" s="132"/>
      <c r="B147" s="133"/>
      <c r="C147" s="127"/>
      <c r="D147" s="127"/>
      <c r="E147" s="127"/>
      <c r="F147" s="130"/>
      <c r="G147" s="127"/>
      <c r="H147" s="127"/>
      <c r="I147" s="127"/>
      <c r="J147" s="130"/>
      <c r="K147" s="134" t="str">
        <f t="shared" si="4"/>
        <v/>
      </c>
      <c r="L147" s="135" t="str">
        <f t="shared" si="5"/>
        <v/>
      </c>
      <c r="M147" s="134" t="str">
        <f>IF(A147="","",IF(K147&gt;=Calendar!$AC$5,TEXT(A147,"yyyymmdd")&amp;"|"&amp;COUNTIFS($A$5:A147,A147,$K$5:K147,"&gt;="&amp;Calendar!$AC$5),""))</f>
        <v/>
      </c>
    </row>
    <row r="148" spans="1:13" ht="18" customHeight="1" x14ac:dyDescent="0.25">
      <c r="A148" s="132"/>
      <c r="B148" s="133"/>
      <c r="C148" s="127"/>
      <c r="D148" s="127"/>
      <c r="E148" s="127"/>
      <c r="F148" s="130"/>
      <c r="G148" s="127"/>
      <c r="H148" s="127"/>
      <c r="I148" s="127"/>
      <c r="J148" s="130"/>
      <c r="K148" s="134" t="str">
        <f t="shared" si="4"/>
        <v/>
      </c>
      <c r="L148" s="135" t="str">
        <f t="shared" si="5"/>
        <v/>
      </c>
      <c r="M148" s="134" t="str">
        <f>IF(A148="","",IF(K148&gt;=Calendar!$AC$5,TEXT(A148,"yyyymmdd")&amp;"|"&amp;COUNTIFS($A$5:A148,A148,$K$5:K148,"&gt;="&amp;Calendar!$AC$5),""))</f>
        <v/>
      </c>
    </row>
    <row r="149" spans="1:13" ht="18" customHeight="1" x14ac:dyDescent="0.25">
      <c r="A149" s="132"/>
      <c r="B149" s="133"/>
      <c r="C149" s="127"/>
      <c r="D149" s="127"/>
      <c r="E149" s="127"/>
      <c r="F149" s="130"/>
      <c r="G149" s="127"/>
      <c r="H149" s="127"/>
      <c r="I149" s="127"/>
      <c r="J149" s="130"/>
      <c r="K149" s="134" t="str">
        <f t="shared" si="4"/>
        <v/>
      </c>
      <c r="L149" s="135" t="str">
        <f t="shared" si="5"/>
        <v/>
      </c>
      <c r="M149" s="134" t="str">
        <f>IF(A149="","",IF(K149&gt;=Calendar!$AC$5,TEXT(A149,"yyyymmdd")&amp;"|"&amp;COUNTIFS($A$5:A149,A149,$K$5:K149,"&gt;="&amp;Calendar!$AC$5),""))</f>
        <v/>
      </c>
    </row>
    <row r="150" spans="1:13" ht="18" customHeight="1" x14ac:dyDescent="0.25">
      <c r="A150" s="132"/>
      <c r="B150" s="133"/>
      <c r="C150" s="127"/>
      <c r="D150" s="127"/>
      <c r="E150" s="127"/>
      <c r="F150" s="130"/>
      <c r="G150" s="127"/>
      <c r="H150" s="127"/>
      <c r="I150" s="127"/>
      <c r="J150" s="130"/>
      <c r="K150" s="134" t="str">
        <f t="shared" si="4"/>
        <v/>
      </c>
      <c r="L150" s="135" t="str">
        <f t="shared" si="5"/>
        <v/>
      </c>
      <c r="M150" s="134" t="str">
        <f>IF(A150="","",IF(K150&gt;=Calendar!$AC$5,TEXT(A150,"yyyymmdd")&amp;"|"&amp;COUNTIFS($A$5:A150,A150,$K$5:K150,"&gt;="&amp;Calendar!$AC$5),""))</f>
        <v/>
      </c>
    </row>
    <row r="151" spans="1:13" ht="18" customHeight="1" x14ac:dyDescent="0.25">
      <c r="A151" s="132"/>
      <c r="B151" s="133"/>
      <c r="C151" s="127"/>
      <c r="D151" s="127"/>
      <c r="E151" s="127"/>
      <c r="F151" s="130"/>
      <c r="G151" s="127"/>
      <c r="H151" s="127"/>
      <c r="I151" s="127"/>
      <c r="J151" s="130"/>
      <c r="K151" s="134" t="str">
        <f t="shared" si="4"/>
        <v/>
      </c>
      <c r="L151" s="135" t="str">
        <f t="shared" si="5"/>
        <v/>
      </c>
      <c r="M151" s="134" t="str">
        <f>IF(A151="","",IF(K151&gt;=Calendar!$AC$5,TEXT(A151,"yyyymmdd")&amp;"|"&amp;COUNTIFS($A$5:A151,A151,$K$5:K151,"&gt;="&amp;Calendar!$AC$5),""))</f>
        <v/>
      </c>
    </row>
    <row r="152" spans="1:13" ht="18" customHeight="1" x14ac:dyDescent="0.25">
      <c r="A152" s="132"/>
      <c r="B152" s="133"/>
      <c r="C152" s="127"/>
      <c r="D152" s="127"/>
      <c r="E152" s="127"/>
      <c r="F152" s="130"/>
      <c r="G152" s="127"/>
      <c r="H152" s="127"/>
      <c r="I152" s="127"/>
      <c r="J152" s="130"/>
      <c r="K152" s="134" t="str">
        <f t="shared" si="4"/>
        <v/>
      </c>
      <c r="L152" s="135" t="str">
        <f t="shared" si="5"/>
        <v/>
      </c>
      <c r="M152" s="134" t="str">
        <f>IF(A152="","",IF(K152&gt;=Calendar!$AC$5,TEXT(A152,"yyyymmdd")&amp;"|"&amp;COUNTIFS($A$5:A152,A152,$K$5:K152,"&gt;="&amp;Calendar!$AC$5),""))</f>
        <v/>
      </c>
    </row>
    <row r="153" spans="1:13" ht="18" customHeight="1" x14ac:dyDescent="0.25">
      <c r="A153" s="132"/>
      <c r="B153" s="133"/>
      <c r="C153" s="127"/>
      <c r="D153" s="127"/>
      <c r="E153" s="127"/>
      <c r="F153" s="130"/>
      <c r="G153" s="127"/>
      <c r="H153" s="127"/>
      <c r="I153" s="127"/>
      <c r="J153" s="130"/>
      <c r="K153" s="134" t="str">
        <f t="shared" si="4"/>
        <v/>
      </c>
      <c r="L153" s="135" t="str">
        <f t="shared" si="5"/>
        <v/>
      </c>
      <c r="M153" s="134" t="str">
        <f>IF(A153="","",IF(K153&gt;=Calendar!$AC$5,TEXT(A153,"yyyymmdd")&amp;"|"&amp;COUNTIFS($A$5:A153,A153,$K$5:K153,"&gt;="&amp;Calendar!$AC$5),""))</f>
        <v/>
      </c>
    </row>
    <row r="154" spans="1:13" ht="18" customHeight="1" x14ac:dyDescent="0.25">
      <c r="A154" s="132"/>
      <c r="B154" s="133"/>
      <c r="C154" s="127"/>
      <c r="D154" s="127"/>
      <c r="E154" s="127"/>
      <c r="F154" s="130"/>
      <c r="G154" s="127"/>
      <c r="H154" s="127"/>
      <c r="I154" s="127"/>
      <c r="J154" s="130"/>
      <c r="K154" s="134" t="str">
        <f t="shared" si="4"/>
        <v/>
      </c>
      <c r="L154" s="135" t="str">
        <f t="shared" si="5"/>
        <v/>
      </c>
      <c r="M154" s="134" t="str">
        <f>IF(A154="","",IF(K154&gt;=Calendar!$AC$5,TEXT(A154,"yyyymmdd")&amp;"|"&amp;COUNTIFS($A$5:A154,A154,$K$5:K154,"&gt;="&amp;Calendar!$AC$5),""))</f>
        <v/>
      </c>
    </row>
    <row r="155" spans="1:13" ht="18" customHeight="1" x14ac:dyDescent="0.25">
      <c r="A155" s="132"/>
      <c r="B155" s="133"/>
      <c r="C155" s="127"/>
      <c r="D155" s="127"/>
      <c r="E155" s="127"/>
      <c r="F155" s="130"/>
      <c r="G155" s="127"/>
      <c r="H155" s="127"/>
      <c r="I155" s="127"/>
      <c r="J155" s="130"/>
      <c r="K155" s="134" t="str">
        <f t="shared" si="4"/>
        <v/>
      </c>
      <c r="L155" s="135" t="str">
        <f t="shared" si="5"/>
        <v/>
      </c>
      <c r="M155" s="134" t="str">
        <f>IF(A155="","",IF(K155&gt;=Calendar!$AC$5,TEXT(A155,"yyyymmdd")&amp;"|"&amp;COUNTIFS($A$5:A155,A155,$K$5:K155,"&gt;="&amp;Calendar!$AC$5),""))</f>
        <v/>
      </c>
    </row>
    <row r="156" spans="1:13" ht="18" customHeight="1" x14ac:dyDescent="0.25">
      <c r="A156" s="132"/>
      <c r="B156" s="133"/>
      <c r="C156" s="127"/>
      <c r="D156" s="127"/>
      <c r="E156" s="127"/>
      <c r="F156" s="130"/>
      <c r="G156" s="127"/>
      <c r="H156" s="127"/>
      <c r="I156" s="127"/>
      <c r="J156" s="130"/>
      <c r="K156" s="134" t="str">
        <f t="shared" si="4"/>
        <v/>
      </c>
      <c r="L156" s="135" t="str">
        <f t="shared" si="5"/>
        <v/>
      </c>
      <c r="M156" s="134" t="str">
        <f>IF(A156="","",IF(K156&gt;=Calendar!$AC$5,TEXT(A156,"yyyymmdd")&amp;"|"&amp;COUNTIFS($A$5:A156,A156,$K$5:K156,"&gt;="&amp;Calendar!$AC$5),""))</f>
        <v/>
      </c>
    </row>
    <row r="157" spans="1:13" ht="18" customHeight="1" x14ac:dyDescent="0.25">
      <c r="A157" s="132"/>
      <c r="B157" s="133"/>
      <c r="C157" s="127"/>
      <c r="D157" s="127"/>
      <c r="E157" s="127"/>
      <c r="F157" s="130"/>
      <c r="G157" s="127"/>
      <c r="H157" s="127"/>
      <c r="I157" s="127"/>
      <c r="J157" s="130"/>
      <c r="K157" s="134" t="str">
        <f t="shared" si="4"/>
        <v/>
      </c>
      <c r="L157" s="135" t="str">
        <f t="shared" si="5"/>
        <v/>
      </c>
      <c r="M157" s="134" t="str">
        <f>IF(A157="","",IF(K157&gt;=Calendar!$AC$5,TEXT(A157,"yyyymmdd")&amp;"|"&amp;COUNTIFS($A$5:A157,A157,$K$5:K157,"&gt;="&amp;Calendar!$AC$5),""))</f>
        <v/>
      </c>
    </row>
    <row r="158" spans="1:13" ht="18" customHeight="1" x14ac:dyDescent="0.25">
      <c r="A158" s="132"/>
      <c r="B158" s="133"/>
      <c r="C158" s="127"/>
      <c r="D158" s="127"/>
      <c r="E158" s="127"/>
      <c r="F158" s="130"/>
      <c r="G158" s="127"/>
      <c r="H158" s="127"/>
      <c r="I158" s="127"/>
      <c r="J158" s="130"/>
      <c r="K158" s="134" t="str">
        <f t="shared" si="4"/>
        <v/>
      </c>
      <c r="L158" s="135" t="str">
        <f t="shared" si="5"/>
        <v/>
      </c>
      <c r="M158" s="134" t="str">
        <f>IF(A158="","",IF(K158&gt;=Calendar!$AC$5,TEXT(A158,"yyyymmdd")&amp;"|"&amp;COUNTIFS($A$5:A158,A158,$K$5:K158,"&gt;="&amp;Calendar!$AC$5),""))</f>
        <v/>
      </c>
    </row>
    <row r="159" spans="1:13" ht="18" customHeight="1" x14ac:dyDescent="0.25">
      <c r="A159" s="132"/>
      <c r="B159" s="133"/>
      <c r="C159" s="127"/>
      <c r="D159" s="127"/>
      <c r="E159" s="127"/>
      <c r="F159" s="130"/>
      <c r="G159" s="127"/>
      <c r="H159" s="127"/>
      <c r="I159" s="127"/>
      <c r="J159" s="130"/>
      <c r="K159" s="134" t="str">
        <f t="shared" si="4"/>
        <v/>
      </c>
      <c r="L159" s="135" t="str">
        <f t="shared" si="5"/>
        <v/>
      </c>
      <c r="M159" s="134" t="str">
        <f>IF(A159="","",IF(K159&gt;=Calendar!$AC$5,TEXT(A159,"yyyymmdd")&amp;"|"&amp;COUNTIFS($A$5:A159,A159,$K$5:K159,"&gt;="&amp;Calendar!$AC$5),""))</f>
        <v/>
      </c>
    </row>
    <row r="160" spans="1:13" ht="18" customHeight="1" x14ac:dyDescent="0.25">
      <c r="A160" s="132"/>
      <c r="B160" s="133"/>
      <c r="C160" s="127"/>
      <c r="D160" s="127"/>
      <c r="E160" s="127"/>
      <c r="F160" s="130"/>
      <c r="G160" s="127"/>
      <c r="H160" s="127"/>
      <c r="I160" s="127"/>
      <c r="J160" s="130"/>
      <c r="K160" s="134" t="str">
        <f t="shared" si="4"/>
        <v/>
      </c>
      <c r="L160" s="135" t="str">
        <f t="shared" si="5"/>
        <v/>
      </c>
      <c r="M160" s="134" t="str">
        <f>IF(A160="","",IF(K160&gt;=Calendar!$AC$5,TEXT(A160,"yyyymmdd")&amp;"|"&amp;COUNTIFS($A$5:A160,A160,$K$5:K160,"&gt;="&amp;Calendar!$AC$5),""))</f>
        <v/>
      </c>
    </row>
    <row r="161" spans="1:13" ht="18" customHeight="1" x14ac:dyDescent="0.25">
      <c r="A161" s="132"/>
      <c r="B161" s="133"/>
      <c r="C161" s="127"/>
      <c r="D161" s="127"/>
      <c r="E161" s="127"/>
      <c r="F161" s="130"/>
      <c r="G161" s="127"/>
      <c r="H161" s="127"/>
      <c r="I161" s="127"/>
      <c r="J161" s="130"/>
      <c r="K161" s="134" t="str">
        <f t="shared" si="4"/>
        <v/>
      </c>
      <c r="L161" s="135" t="str">
        <f t="shared" si="5"/>
        <v/>
      </c>
      <c r="M161" s="134" t="str">
        <f>IF(A161="","",IF(K161&gt;=Calendar!$AC$5,TEXT(A161,"yyyymmdd")&amp;"|"&amp;COUNTIFS($A$5:A161,A161,$K$5:K161,"&gt;="&amp;Calendar!$AC$5),""))</f>
        <v/>
      </c>
    </row>
    <row r="162" spans="1:13" ht="18" customHeight="1" x14ac:dyDescent="0.25">
      <c r="A162" s="132"/>
      <c r="B162" s="133"/>
      <c r="C162" s="127"/>
      <c r="D162" s="127"/>
      <c r="E162" s="127"/>
      <c r="F162" s="130"/>
      <c r="G162" s="127"/>
      <c r="H162" s="127"/>
      <c r="I162" s="127"/>
      <c r="J162" s="130"/>
      <c r="K162" s="134" t="str">
        <f t="shared" si="4"/>
        <v/>
      </c>
      <c r="L162" s="135" t="str">
        <f t="shared" si="5"/>
        <v/>
      </c>
      <c r="M162" s="134" t="str">
        <f>IF(A162="","",IF(K162&gt;=Calendar!$AC$5,TEXT(A162,"yyyymmdd")&amp;"|"&amp;COUNTIFS($A$5:A162,A162,$K$5:K162,"&gt;="&amp;Calendar!$AC$5),""))</f>
        <v/>
      </c>
    </row>
    <row r="163" spans="1:13" ht="18" customHeight="1" x14ac:dyDescent="0.25">
      <c r="A163" s="132"/>
      <c r="B163" s="133"/>
      <c r="C163" s="127"/>
      <c r="D163" s="127"/>
      <c r="E163" s="127"/>
      <c r="F163" s="130"/>
      <c r="G163" s="127"/>
      <c r="H163" s="127"/>
      <c r="I163" s="127"/>
      <c r="J163" s="130"/>
      <c r="K163" s="134" t="str">
        <f t="shared" si="4"/>
        <v/>
      </c>
      <c r="L163" s="135" t="str">
        <f t="shared" si="5"/>
        <v/>
      </c>
      <c r="M163" s="134" t="str">
        <f>IF(A163="","",IF(K163&gt;=Calendar!$AC$5,TEXT(A163,"yyyymmdd")&amp;"|"&amp;COUNTIFS($A$5:A163,A163,$K$5:K163,"&gt;="&amp;Calendar!$AC$5),""))</f>
        <v/>
      </c>
    </row>
    <row r="164" spans="1:13" ht="18" customHeight="1" x14ac:dyDescent="0.25">
      <c r="A164" s="132"/>
      <c r="B164" s="133"/>
      <c r="C164" s="127"/>
      <c r="D164" s="127"/>
      <c r="E164" s="127"/>
      <c r="F164" s="130"/>
      <c r="G164" s="127"/>
      <c r="H164" s="127"/>
      <c r="I164" s="127"/>
      <c r="J164" s="130"/>
      <c r="K164" s="134" t="str">
        <f t="shared" si="4"/>
        <v/>
      </c>
      <c r="L164" s="135" t="str">
        <f t="shared" si="5"/>
        <v/>
      </c>
      <c r="M164" s="134" t="str">
        <f>IF(A164="","",IF(K164&gt;=Calendar!$AC$5,TEXT(A164,"yyyymmdd")&amp;"|"&amp;COUNTIFS($A$5:A164,A164,$K$5:K164,"&gt;="&amp;Calendar!$AC$5),""))</f>
        <v/>
      </c>
    </row>
    <row r="165" spans="1:13" ht="18" customHeight="1" x14ac:dyDescent="0.25">
      <c r="A165" s="132"/>
      <c r="B165" s="133"/>
      <c r="C165" s="127"/>
      <c r="D165" s="127"/>
      <c r="E165" s="127"/>
      <c r="F165" s="130"/>
      <c r="G165" s="127"/>
      <c r="H165" s="127"/>
      <c r="I165" s="127"/>
      <c r="J165" s="130"/>
      <c r="K165" s="134" t="str">
        <f t="shared" si="4"/>
        <v/>
      </c>
      <c r="L165" s="135" t="str">
        <f t="shared" si="5"/>
        <v/>
      </c>
      <c r="M165" s="134" t="str">
        <f>IF(A165="","",IF(K165&gt;=Calendar!$AC$5,TEXT(A165,"yyyymmdd")&amp;"|"&amp;COUNTIFS($A$5:A165,A165,$K$5:K165,"&gt;="&amp;Calendar!$AC$5),""))</f>
        <v/>
      </c>
    </row>
    <row r="166" spans="1:13" ht="18" customHeight="1" x14ac:dyDescent="0.25">
      <c r="A166" s="132"/>
      <c r="B166" s="133"/>
      <c r="C166" s="127"/>
      <c r="D166" s="127"/>
      <c r="E166" s="127"/>
      <c r="F166" s="130"/>
      <c r="G166" s="127"/>
      <c r="H166" s="127"/>
      <c r="I166" s="127"/>
      <c r="J166" s="130"/>
      <c r="K166" s="134" t="str">
        <f t="shared" si="4"/>
        <v/>
      </c>
      <c r="L166" s="135" t="str">
        <f t="shared" si="5"/>
        <v/>
      </c>
      <c r="M166" s="134" t="str">
        <f>IF(A166="","",IF(K166&gt;=Calendar!$AC$5,TEXT(A166,"yyyymmdd")&amp;"|"&amp;COUNTIFS($A$5:A166,A166,$K$5:K166,"&gt;="&amp;Calendar!$AC$5),""))</f>
        <v/>
      </c>
    </row>
    <row r="167" spans="1:13" ht="18" customHeight="1" x14ac:dyDescent="0.25">
      <c r="A167" s="132"/>
      <c r="B167" s="133"/>
      <c r="C167" s="127"/>
      <c r="D167" s="127"/>
      <c r="E167" s="127"/>
      <c r="F167" s="130"/>
      <c r="G167" s="127"/>
      <c r="H167" s="127"/>
      <c r="I167" s="127"/>
      <c r="J167" s="130"/>
      <c r="K167" s="134" t="str">
        <f t="shared" si="4"/>
        <v/>
      </c>
      <c r="L167" s="135" t="str">
        <f t="shared" si="5"/>
        <v/>
      </c>
      <c r="M167" s="134" t="str">
        <f>IF(A167="","",IF(K167&gt;=Calendar!$AC$5,TEXT(A167,"yyyymmdd")&amp;"|"&amp;COUNTIFS($A$5:A167,A167,$K$5:K167,"&gt;="&amp;Calendar!$AC$5),""))</f>
        <v/>
      </c>
    </row>
    <row r="168" spans="1:13" ht="18" customHeight="1" x14ac:dyDescent="0.25">
      <c r="A168" s="132"/>
      <c r="B168" s="133"/>
      <c r="C168" s="127"/>
      <c r="D168" s="127"/>
      <c r="E168" s="127"/>
      <c r="F168" s="130"/>
      <c r="G168" s="127"/>
      <c r="H168" s="127"/>
      <c r="I168" s="127"/>
      <c r="J168" s="130"/>
      <c r="K168" s="134" t="str">
        <f t="shared" si="4"/>
        <v/>
      </c>
      <c r="L168" s="135" t="str">
        <f t="shared" si="5"/>
        <v/>
      </c>
      <c r="M168" s="134" t="str">
        <f>IF(A168="","",IF(K168&gt;=Calendar!$AC$5,TEXT(A168,"yyyymmdd")&amp;"|"&amp;COUNTIFS($A$5:A168,A168,$K$5:K168,"&gt;="&amp;Calendar!$AC$5),""))</f>
        <v/>
      </c>
    </row>
    <row r="169" spans="1:13" ht="18" customHeight="1" x14ac:dyDescent="0.25">
      <c r="A169" s="132"/>
      <c r="B169" s="133"/>
      <c r="C169" s="127"/>
      <c r="D169" s="127"/>
      <c r="E169" s="127"/>
      <c r="F169" s="130"/>
      <c r="G169" s="127"/>
      <c r="H169" s="127"/>
      <c r="I169" s="127"/>
      <c r="J169" s="130"/>
      <c r="K169" s="134" t="str">
        <f t="shared" si="4"/>
        <v/>
      </c>
      <c r="L169" s="135" t="str">
        <f t="shared" si="5"/>
        <v/>
      </c>
      <c r="M169" s="134" t="str">
        <f>IF(A169="","",IF(K169&gt;=Calendar!$AC$5,TEXT(A169,"yyyymmdd")&amp;"|"&amp;COUNTIFS($A$5:A169,A169,$K$5:K169,"&gt;="&amp;Calendar!$AC$5),""))</f>
        <v/>
      </c>
    </row>
    <row r="170" spans="1:13" ht="18" customHeight="1" x14ac:dyDescent="0.25">
      <c r="A170" s="132"/>
      <c r="B170" s="133"/>
      <c r="C170" s="127"/>
      <c r="D170" s="127"/>
      <c r="E170" s="127"/>
      <c r="F170" s="130"/>
      <c r="G170" s="127"/>
      <c r="H170" s="127"/>
      <c r="I170" s="127"/>
      <c r="J170" s="130"/>
      <c r="K170" s="134" t="str">
        <f t="shared" si="4"/>
        <v/>
      </c>
      <c r="L170" s="135" t="str">
        <f t="shared" si="5"/>
        <v/>
      </c>
      <c r="M170" s="134" t="str">
        <f>IF(A170="","",IF(K170&gt;=Calendar!$AC$5,TEXT(A170,"yyyymmdd")&amp;"|"&amp;COUNTIFS($A$5:A170,A170,$K$5:K170,"&gt;="&amp;Calendar!$AC$5),""))</f>
        <v/>
      </c>
    </row>
    <row r="171" spans="1:13" ht="18" customHeight="1" x14ac:dyDescent="0.25">
      <c r="A171" s="132"/>
      <c r="B171" s="133"/>
      <c r="C171" s="127"/>
      <c r="D171" s="127"/>
      <c r="E171" s="127"/>
      <c r="F171" s="130"/>
      <c r="G171" s="127"/>
      <c r="H171" s="127"/>
      <c r="I171" s="127"/>
      <c r="J171" s="130"/>
      <c r="K171" s="134" t="str">
        <f t="shared" si="4"/>
        <v/>
      </c>
      <c r="L171" s="135" t="str">
        <f t="shared" si="5"/>
        <v/>
      </c>
      <c r="M171" s="134" t="str">
        <f>IF(A171="","",IF(K171&gt;=Calendar!$AC$5,TEXT(A171,"yyyymmdd")&amp;"|"&amp;COUNTIFS($A$5:A171,A171,$K$5:K171,"&gt;="&amp;Calendar!$AC$5),""))</f>
        <v/>
      </c>
    </row>
    <row r="172" spans="1:13" ht="18" customHeight="1" x14ac:dyDescent="0.25">
      <c r="A172" s="132"/>
      <c r="B172" s="133"/>
      <c r="C172" s="127"/>
      <c r="D172" s="127"/>
      <c r="E172" s="127"/>
      <c r="F172" s="130"/>
      <c r="G172" s="127"/>
      <c r="H172" s="127"/>
      <c r="I172" s="127"/>
      <c r="J172" s="130"/>
      <c r="K172" s="134" t="str">
        <f t="shared" si="4"/>
        <v/>
      </c>
      <c r="L172" s="135" t="str">
        <f t="shared" si="5"/>
        <v/>
      </c>
      <c r="M172" s="134" t="str">
        <f>IF(A172="","",IF(K172&gt;=Calendar!$AC$5,TEXT(A172,"yyyymmdd")&amp;"|"&amp;COUNTIFS($A$5:A172,A172,$K$5:K172,"&gt;="&amp;Calendar!$AC$5),""))</f>
        <v/>
      </c>
    </row>
    <row r="173" spans="1:13" ht="18" customHeight="1" x14ac:dyDescent="0.25">
      <c r="A173" s="132"/>
      <c r="B173" s="133"/>
      <c r="C173" s="127"/>
      <c r="D173" s="127"/>
      <c r="E173" s="127"/>
      <c r="F173" s="130"/>
      <c r="G173" s="127"/>
      <c r="H173" s="127"/>
      <c r="I173" s="127"/>
      <c r="J173" s="130"/>
      <c r="K173" s="134" t="str">
        <f t="shared" si="4"/>
        <v/>
      </c>
      <c r="L173" s="135" t="str">
        <f t="shared" si="5"/>
        <v/>
      </c>
      <c r="M173" s="134" t="str">
        <f>IF(A173="","",IF(K173&gt;=Calendar!$AC$5,TEXT(A173,"yyyymmdd")&amp;"|"&amp;COUNTIFS($A$5:A173,A173,$K$5:K173,"&gt;="&amp;Calendar!$AC$5),""))</f>
        <v/>
      </c>
    </row>
    <row r="174" spans="1:13" ht="18" customHeight="1" x14ac:dyDescent="0.25">
      <c r="A174" s="132"/>
      <c r="B174" s="133"/>
      <c r="C174" s="127"/>
      <c r="D174" s="127"/>
      <c r="E174" s="127"/>
      <c r="F174" s="130"/>
      <c r="G174" s="127"/>
      <c r="H174" s="127"/>
      <c r="I174" s="127"/>
      <c r="J174" s="130"/>
      <c r="K174" s="134" t="str">
        <f t="shared" si="4"/>
        <v/>
      </c>
      <c r="L174" s="135" t="str">
        <f t="shared" si="5"/>
        <v/>
      </c>
      <c r="M174" s="134" t="str">
        <f>IF(A174="","",IF(K174&gt;=Calendar!$AC$5,TEXT(A174,"yyyymmdd")&amp;"|"&amp;COUNTIFS($A$5:A174,A174,$K$5:K174,"&gt;="&amp;Calendar!$AC$5),""))</f>
        <v/>
      </c>
    </row>
    <row r="175" spans="1:13" ht="18" customHeight="1" x14ac:dyDescent="0.25">
      <c r="A175" s="132"/>
      <c r="B175" s="133"/>
      <c r="C175" s="127"/>
      <c r="D175" s="127"/>
      <c r="E175" s="127"/>
      <c r="F175" s="130"/>
      <c r="G175" s="127"/>
      <c r="H175" s="127"/>
      <c r="I175" s="127"/>
      <c r="J175" s="130"/>
      <c r="K175" s="134" t="str">
        <f t="shared" si="4"/>
        <v/>
      </c>
      <c r="L175" s="135" t="str">
        <f t="shared" si="5"/>
        <v/>
      </c>
      <c r="M175" s="134" t="str">
        <f>IF(A175="","",IF(K175&gt;=Calendar!$AC$5,TEXT(A175,"yyyymmdd")&amp;"|"&amp;COUNTIFS($A$5:A175,A175,$K$5:K175,"&gt;="&amp;Calendar!$AC$5),""))</f>
        <v/>
      </c>
    </row>
    <row r="176" spans="1:13" ht="18" customHeight="1" x14ac:dyDescent="0.25">
      <c r="A176" s="132"/>
      <c r="B176" s="133"/>
      <c r="C176" s="127"/>
      <c r="D176" s="127"/>
      <c r="E176" s="127"/>
      <c r="F176" s="130"/>
      <c r="G176" s="127"/>
      <c r="H176" s="127"/>
      <c r="I176" s="127"/>
      <c r="J176" s="130"/>
      <c r="K176" s="134" t="str">
        <f t="shared" si="4"/>
        <v/>
      </c>
      <c r="L176" s="135" t="str">
        <f t="shared" si="5"/>
        <v/>
      </c>
      <c r="M176" s="134" t="str">
        <f>IF(A176="","",IF(K176&gt;=Calendar!$AC$5,TEXT(A176,"yyyymmdd")&amp;"|"&amp;COUNTIFS($A$5:A176,A176,$K$5:K176,"&gt;="&amp;Calendar!$AC$5),""))</f>
        <v/>
      </c>
    </row>
    <row r="177" spans="1:13" ht="18" customHeight="1" x14ac:dyDescent="0.25">
      <c r="A177" s="132"/>
      <c r="B177" s="133"/>
      <c r="C177" s="127"/>
      <c r="D177" s="127"/>
      <c r="E177" s="127"/>
      <c r="F177" s="130"/>
      <c r="G177" s="127"/>
      <c r="H177" s="127"/>
      <c r="I177" s="127"/>
      <c r="J177" s="130"/>
      <c r="K177" s="134" t="str">
        <f t="shared" si="4"/>
        <v/>
      </c>
      <c r="L177" s="135" t="str">
        <f t="shared" si="5"/>
        <v/>
      </c>
      <c r="M177" s="134" t="str">
        <f>IF(A177="","",IF(K177&gt;=Calendar!$AC$5,TEXT(A177,"yyyymmdd")&amp;"|"&amp;COUNTIFS($A$5:A177,A177,$K$5:K177,"&gt;="&amp;Calendar!$AC$5),""))</f>
        <v/>
      </c>
    </row>
    <row r="178" spans="1:13" ht="18" customHeight="1" x14ac:dyDescent="0.25">
      <c r="A178" s="132"/>
      <c r="B178" s="133"/>
      <c r="C178" s="127"/>
      <c r="D178" s="127"/>
      <c r="E178" s="127"/>
      <c r="F178" s="130"/>
      <c r="G178" s="127"/>
      <c r="H178" s="127"/>
      <c r="I178" s="127"/>
      <c r="J178" s="130"/>
      <c r="K178" s="134" t="str">
        <f t="shared" si="4"/>
        <v/>
      </c>
      <c r="L178" s="135" t="str">
        <f t="shared" si="5"/>
        <v/>
      </c>
      <c r="M178" s="134" t="str">
        <f>IF(A178="","",IF(K178&gt;=Calendar!$AC$5,TEXT(A178,"yyyymmdd")&amp;"|"&amp;COUNTIFS($A$5:A178,A178,$K$5:K178,"&gt;="&amp;Calendar!$AC$5),""))</f>
        <v/>
      </c>
    </row>
    <row r="179" spans="1:13" ht="18" customHeight="1" x14ac:dyDescent="0.25">
      <c r="A179" s="132"/>
      <c r="B179" s="133"/>
      <c r="C179" s="127"/>
      <c r="D179" s="127"/>
      <c r="E179" s="127"/>
      <c r="F179" s="130"/>
      <c r="G179" s="127"/>
      <c r="H179" s="127"/>
      <c r="I179" s="127"/>
      <c r="J179" s="130"/>
      <c r="K179" s="134" t="str">
        <f t="shared" si="4"/>
        <v/>
      </c>
      <c r="L179" s="135" t="str">
        <f t="shared" si="5"/>
        <v/>
      </c>
      <c r="M179" s="134" t="str">
        <f>IF(A179="","",IF(K179&gt;=Calendar!$AC$5,TEXT(A179,"yyyymmdd")&amp;"|"&amp;COUNTIFS($A$5:A179,A179,$K$5:K179,"&gt;="&amp;Calendar!$AC$5),""))</f>
        <v/>
      </c>
    </row>
    <row r="180" spans="1:13" ht="18" customHeight="1" x14ac:dyDescent="0.25">
      <c r="A180" s="132"/>
      <c r="B180" s="133"/>
      <c r="C180" s="127"/>
      <c r="D180" s="127"/>
      <c r="E180" s="127"/>
      <c r="F180" s="130"/>
      <c r="G180" s="127"/>
      <c r="H180" s="127"/>
      <c r="I180" s="127"/>
      <c r="J180" s="130"/>
      <c r="K180" s="134" t="str">
        <f t="shared" si="4"/>
        <v/>
      </c>
      <c r="L180" s="135" t="str">
        <f t="shared" si="5"/>
        <v/>
      </c>
      <c r="M180" s="134" t="str">
        <f>IF(A180="","",IF(K180&gt;=Calendar!$AC$5,TEXT(A180,"yyyymmdd")&amp;"|"&amp;COUNTIFS($A$5:A180,A180,$K$5:K180,"&gt;="&amp;Calendar!$AC$5),""))</f>
        <v/>
      </c>
    </row>
    <row r="181" spans="1:13" ht="18" customHeight="1" x14ac:dyDescent="0.25">
      <c r="A181" s="132"/>
      <c r="B181" s="133"/>
      <c r="C181" s="127"/>
      <c r="D181" s="127"/>
      <c r="E181" s="127"/>
      <c r="F181" s="130"/>
      <c r="G181" s="127"/>
      <c r="H181" s="127"/>
      <c r="I181" s="127"/>
      <c r="J181" s="130"/>
      <c r="K181" s="134" t="str">
        <f t="shared" si="4"/>
        <v/>
      </c>
      <c r="L181" s="135" t="str">
        <f t="shared" si="5"/>
        <v/>
      </c>
      <c r="M181" s="134" t="str">
        <f>IF(A181="","",IF(K181&gt;=Calendar!$AC$5,TEXT(A181,"yyyymmdd")&amp;"|"&amp;COUNTIFS($A$5:A181,A181,$K$5:K181,"&gt;="&amp;Calendar!$AC$5),""))</f>
        <v/>
      </c>
    </row>
    <row r="182" spans="1:13" ht="18" customHeight="1" x14ac:dyDescent="0.25">
      <c r="A182" s="132"/>
      <c r="B182" s="133"/>
      <c r="C182" s="127"/>
      <c r="D182" s="127"/>
      <c r="E182" s="127"/>
      <c r="F182" s="130"/>
      <c r="G182" s="127"/>
      <c r="H182" s="127"/>
      <c r="I182" s="127"/>
      <c r="J182" s="130"/>
      <c r="K182" s="134" t="str">
        <f t="shared" si="4"/>
        <v/>
      </c>
      <c r="L182" s="135" t="str">
        <f t="shared" si="5"/>
        <v/>
      </c>
      <c r="M182" s="134" t="str">
        <f>IF(A182="","",IF(K182&gt;=Calendar!$AC$5,TEXT(A182,"yyyymmdd")&amp;"|"&amp;COUNTIFS($A$5:A182,A182,$K$5:K182,"&gt;="&amp;Calendar!$AC$5),""))</f>
        <v/>
      </c>
    </row>
    <row r="183" spans="1:13" ht="18" customHeight="1" x14ac:dyDescent="0.25">
      <c r="A183" s="132"/>
      <c r="B183" s="133"/>
      <c r="C183" s="127"/>
      <c r="D183" s="127"/>
      <c r="E183" s="127"/>
      <c r="F183" s="130"/>
      <c r="G183" s="127"/>
      <c r="H183" s="127"/>
      <c r="I183" s="127"/>
      <c r="J183" s="130"/>
      <c r="K183" s="134" t="str">
        <f t="shared" si="4"/>
        <v/>
      </c>
      <c r="L183" s="135" t="str">
        <f t="shared" si="5"/>
        <v/>
      </c>
      <c r="M183" s="134" t="str">
        <f>IF(A183="","",IF(K183&gt;=Calendar!$AC$5,TEXT(A183,"yyyymmdd")&amp;"|"&amp;COUNTIFS($A$5:A183,A183,$K$5:K183,"&gt;="&amp;Calendar!$AC$5),""))</f>
        <v/>
      </c>
    </row>
    <row r="184" spans="1:13" ht="18" customHeight="1" x14ac:dyDescent="0.25">
      <c r="A184" s="132"/>
      <c r="B184" s="133"/>
      <c r="C184" s="127"/>
      <c r="D184" s="127"/>
      <c r="E184" s="127"/>
      <c r="F184" s="130"/>
      <c r="G184" s="127"/>
      <c r="H184" s="127"/>
      <c r="I184" s="127"/>
      <c r="J184" s="130"/>
      <c r="K184" s="134" t="str">
        <f t="shared" si="4"/>
        <v/>
      </c>
      <c r="L184" s="135" t="str">
        <f t="shared" si="5"/>
        <v/>
      </c>
      <c r="M184" s="134" t="str">
        <f>IF(A184="","",IF(K184&gt;=Calendar!$AC$5,TEXT(A184,"yyyymmdd")&amp;"|"&amp;COUNTIFS($A$5:A184,A184,$K$5:K184,"&gt;="&amp;Calendar!$AC$5),""))</f>
        <v/>
      </c>
    </row>
    <row r="185" spans="1:13" ht="18" customHeight="1" x14ac:dyDescent="0.25">
      <c r="A185" s="132"/>
      <c r="B185" s="133"/>
      <c r="C185" s="127"/>
      <c r="D185" s="127"/>
      <c r="E185" s="127"/>
      <c r="F185" s="130"/>
      <c r="G185" s="127"/>
      <c r="H185" s="127"/>
      <c r="I185" s="127"/>
      <c r="J185" s="130"/>
      <c r="K185" s="134" t="str">
        <f t="shared" si="4"/>
        <v/>
      </c>
      <c r="L185" s="135" t="str">
        <f t="shared" si="5"/>
        <v/>
      </c>
      <c r="M185" s="134" t="str">
        <f>IF(A185="","",IF(K185&gt;=Calendar!$AC$5,TEXT(A185,"yyyymmdd")&amp;"|"&amp;COUNTIFS($A$5:A185,A185,$K$5:K185,"&gt;="&amp;Calendar!$AC$5),""))</f>
        <v/>
      </c>
    </row>
    <row r="186" spans="1:13" ht="18" customHeight="1" x14ac:dyDescent="0.25">
      <c r="A186" s="132"/>
      <c r="B186" s="133"/>
      <c r="C186" s="127"/>
      <c r="D186" s="127"/>
      <c r="E186" s="127"/>
      <c r="F186" s="130"/>
      <c r="G186" s="127"/>
      <c r="H186" s="127"/>
      <c r="I186" s="127"/>
      <c r="J186" s="130"/>
      <c r="K186" s="134" t="str">
        <f t="shared" si="4"/>
        <v/>
      </c>
      <c r="L186" s="135" t="str">
        <f t="shared" si="5"/>
        <v/>
      </c>
      <c r="M186" s="134" t="str">
        <f>IF(A186="","",IF(K186&gt;=Calendar!$AC$5,TEXT(A186,"yyyymmdd")&amp;"|"&amp;COUNTIFS($A$5:A186,A186,$K$5:K186,"&gt;="&amp;Calendar!$AC$5),""))</f>
        <v/>
      </c>
    </row>
    <row r="187" spans="1:13" ht="18" customHeight="1" x14ac:dyDescent="0.25">
      <c r="A187" s="132"/>
      <c r="B187" s="133"/>
      <c r="C187" s="127"/>
      <c r="D187" s="127"/>
      <c r="E187" s="127"/>
      <c r="F187" s="130"/>
      <c r="G187" s="127"/>
      <c r="H187" s="127"/>
      <c r="I187" s="127"/>
      <c r="J187" s="130"/>
      <c r="K187" s="134" t="str">
        <f t="shared" si="4"/>
        <v/>
      </c>
      <c r="L187" s="135" t="str">
        <f t="shared" si="5"/>
        <v/>
      </c>
      <c r="M187" s="134" t="str">
        <f>IF(A187="","",IF(K187&gt;=Calendar!$AC$5,TEXT(A187,"yyyymmdd")&amp;"|"&amp;COUNTIFS($A$5:A187,A187,$K$5:K187,"&gt;="&amp;Calendar!$AC$5),""))</f>
        <v/>
      </c>
    </row>
    <row r="188" spans="1:13" ht="18" customHeight="1" x14ac:dyDescent="0.25">
      <c r="A188" s="132"/>
      <c r="B188" s="133"/>
      <c r="C188" s="127"/>
      <c r="D188" s="127"/>
      <c r="E188" s="127"/>
      <c r="F188" s="130"/>
      <c r="G188" s="127"/>
      <c r="H188" s="127"/>
      <c r="I188" s="127"/>
      <c r="J188" s="130"/>
      <c r="K188" s="134" t="str">
        <f t="shared" si="4"/>
        <v/>
      </c>
      <c r="L188" s="135" t="str">
        <f t="shared" si="5"/>
        <v/>
      </c>
      <c r="M188" s="134" t="str">
        <f>IF(A188="","",IF(K188&gt;=Calendar!$AC$5,TEXT(A188,"yyyymmdd")&amp;"|"&amp;COUNTIFS($A$5:A188,A188,$K$5:K188,"&gt;="&amp;Calendar!$AC$5),""))</f>
        <v/>
      </c>
    </row>
    <row r="189" spans="1:13" ht="18" customHeight="1" x14ac:dyDescent="0.25">
      <c r="A189" s="132"/>
      <c r="B189" s="133"/>
      <c r="C189" s="127"/>
      <c r="D189" s="127"/>
      <c r="E189" s="127"/>
      <c r="F189" s="130"/>
      <c r="G189" s="127"/>
      <c r="H189" s="127"/>
      <c r="I189" s="127"/>
      <c r="J189" s="130"/>
      <c r="K189" s="134" t="str">
        <f t="shared" si="4"/>
        <v/>
      </c>
      <c r="L189" s="135" t="str">
        <f t="shared" si="5"/>
        <v/>
      </c>
      <c r="M189" s="134" t="str">
        <f>IF(A189="","",IF(K189&gt;=Calendar!$AC$5,TEXT(A189,"yyyymmdd")&amp;"|"&amp;COUNTIFS($A$5:A189,A189,$K$5:K189,"&gt;="&amp;Calendar!$AC$5),""))</f>
        <v/>
      </c>
    </row>
    <row r="190" spans="1:13" ht="18" customHeight="1" x14ac:dyDescent="0.25">
      <c r="A190" s="132"/>
      <c r="B190" s="133"/>
      <c r="C190" s="127"/>
      <c r="D190" s="127"/>
      <c r="E190" s="127"/>
      <c r="F190" s="130"/>
      <c r="G190" s="127"/>
      <c r="H190" s="127"/>
      <c r="I190" s="127"/>
      <c r="J190" s="130"/>
      <c r="K190" s="134" t="str">
        <f t="shared" si="4"/>
        <v/>
      </c>
      <c r="L190" s="135" t="str">
        <f t="shared" si="5"/>
        <v/>
      </c>
      <c r="M190" s="134" t="str">
        <f>IF(A190="","",IF(K190&gt;=Calendar!$AC$5,TEXT(A190,"yyyymmdd")&amp;"|"&amp;COUNTIFS($A$5:A190,A190,$K$5:K190,"&gt;="&amp;Calendar!$AC$5),""))</f>
        <v/>
      </c>
    </row>
    <row r="191" spans="1:13" ht="18" customHeight="1" x14ac:dyDescent="0.25">
      <c r="A191" s="132"/>
      <c r="B191" s="133"/>
      <c r="C191" s="127"/>
      <c r="D191" s="127"/>
      <c r="E191" s="127"/>
      <c r="F191" s="130"/>
      <c r="G191" s="127"/>
      <c r="H191" s="127"/>
      <c r="I191" s="127"/>
      <c r="J191" s="130"/>
      <c r="K191" s="134" t="str">
        <f t="shared" si="4"/>
        <v/>
      </c>
      <c r="L191" s="135" t="str">
        <f t="shared" si="5"/>
        <v/>
      </c>
      <c r="M191" s="134" t="str">
        <f>IF(A191="","",IF(K191&gt;=Calendar!$AC$5,TEXT(A191,"yyyymmdd")&amp;"|"&amp;COUNTIFS($A$5:A191,A191,$K$5:K191,"&gt;="&amp;Calendar!$AC$5),""))</f>
        <v/>
      </c>
    </row>
    <row r="192" spans="1:13" ht="18" customHeight="1" x14ac:dyDescent="0.25">
      <c r="A192" s="132"/>
      <c r="B192" s="133"/>
      <c r="C192" s="127"/>
      <c r="D192" s="127"/>
      <c r="E192" s="127"/>
      <c r="F192" s="130"/>
      <c r="G192" s="127"/>
      <c r="H192" s="127"/>
      <c r="I192" s="127"/>
      <c r="J192" s="130"/>
      <c r="K192" s="134" t="str">
        <f t="shared" si="4"/>
        <v/>
      </c>
      <c r="L192" s="135" t="str">
        <f t="shared" si="5"/>
        <v/>
      </c>
      <c r="M192" s="134" t="str">
        <f>IF(A192="","",IF(K192&gt;=Calendar!$AC$5,TEXT(A192,"yyyymmdd")&amp;"|"&amp;COUNTIFS($A$5:A192,A192,$K$5:K192,"&gt;="&amp;Calendar!$AC$5),""))</f>
        <v/>
      </c>
    </row>
    <row r="193" spans="1:13" ht="18" customHeight="1" x14ac:dyDescent="0.25">
      <c r="A193" s="132"/>
      <c r="B193" s="133"/>
      <c r="C193" s="127"/>
      <c r="D193" s="127"/>
      <c r="E193" s="127"/>
      <c r="F193" s="130"/>
      <c r="G193" s="127"/>
      <c r="H193" s="127"/>
      <c r="I193" s="127"/>
      <c r="J193" s="130"/>
      <c r="K193" s="134" t="str">
        <f t="shared" si="4"/>
        <v/>
      </c>
      <c r="L193" s="135" t="str">
        <f t="shared" si="5"/>
        <v/>
      </c>
      <c r="M193" s="134" t="str">
        <f>IF(A193="","",IF(K193&gt;=Calendar!$AC$5,TEXT(A193,"yyyymmdd")&amp;"|"&amp;COUNTIFS($A$5:A193,A193,$K$5:K193,"&gt;="&amp;Calendar!$AC$5),""))</f>
        <v/>
      </c>
    </row>
    <row r="194" spans="1:13" ht="18" customHeight="1" x14ac:dyDescent="0.25">
      <c r="A194" s="132"/>
      <c r="B194" s="133"/>
      <c r="C194" s="127"/>
      <c r="D194" s="127"/>
      <c r="E194" s="127"/>
      <c r="F194" s="130"/>
      <c r="G194" s="127"/>
      <c r="H194" s="127"/>
      <c r="I194" s="127"/>
      <c r="J194" s="130"/>
      <c r="K194" s="134" t="str">
        <f t="shared" si="4"/>
        <v/>
      </c>
      <c r="L194" s="135" t="str">
        <f t="shared" si="5"/>
        <v/>
      </c>
      <c r="M194" s="134" t="str">
        <f>IF(A194="","",IF(K194&gt;=Calendar!$AC$5,TEXT(A194,"yyyymmdd")&amp;"|"&amp;COUNTIFS($A$5:A194,A194,$K$5:K194,"&gt;="&amp;Calendar!$AC$5),""))</f>
        <v/>
      </c>
    </row>
    <row r="195" spans="1:13" ht="18" customHeight="1" x14ac:dyDescent="0.25">
      <c r="A195" s="132"/>
      <c r="B195" s="133"/>
      <c r="C195" s="127"/>
      <c r="D195" s="127"/>
      <c r="E195" s="127"/>
      <c r="F195" s="130"/>
      <c r="G195" s="127"/>
      <c r="H195" s="127"/>
      <c r="I195" s="127"/>
      <c r="J195" s="130"/>
      <c r="K195" s="134" t="str">
        <f t="shared" si="4"/>
        <v/>
      </c>
      <c r="L195" s="135" t="str">
        <f t="shared" si="5"/>
        <v/>
      </c>
      <c r="M195" s="134" t="str">
        <f>IF(A195="","",IF(K195&gt;=Calendar!$AC$5,TEXT(A195,"yyyymmdd")&amp;"|"&amp;COUNTIFS($A$5:A195,A195,$K$5:K195,"&gt;="&amp;Calendar!$AC$5),""))</f>
        <v/>
      </c>
    </row>
    <row r="196" spans="1:13" ht="18" customHeight="1" x14ac:dyDescent="0.25">
      <c r="A196" s="132"/>
      <c r="B196" s="133"/>
      <c r="C196" s="127"/>
      <c r="D196" s="127"/>
      <c r="E196" s="127"/>
      <c r="F196" s="130"/>
      <c r="G196" s="127"/>
      <c r="H196" s="127"/>
      <c r="I196" s="127"/>
      <c r="J196" s="130"/>
      <c r="K196" s="134" t="str">
        <f t="shared" si="4"/>
        <v/>
      </c>
      <c r="L196" s="135" t="str">
        <f t="shared" si="5"/>
        <v/>
      </c>
      <c r="M196" s="134" t="str">
        <f>IF(A196="","",IF(K196&gt;=Calendar!$AC$5,TEXT(A196,"yyyymmdd")&amp;"|"&amp;COUNTIFS($A$5:A196,A196,$K$5:K196,"&gt;="&amp;Calendar!$AC$5),""))</f>
        <v/>
      </c>
    </row>
    <row r="197" spans="1:13" ht="18" customHeight="1" x14ac:dyDescent="0.25">
      <c r="A197" s="132"/>
      <c r="B197" s="133"/>
      <c r="C197" s="127"/>
      <c r="D197" s="127"/>
      <c r="E197" s="127"/>
      <c r="F197" s="130"/>
      <c r="G197" s="127"/>
      <c r="H197" s="127"/>
      <c r="I197" s="127"/>
      <c r="J197" s="130"/>
      <c r="K197" s="134" t="str">
        <f t="shared" ref="K197:K260" si="6">IF(A197="","",IF(D197="High",3,IF(OR(D197="Medium",D197="Holiday"),2,1)))</f>
        <v/>
      </c>
      <c r="L197" s="135" t="str">
        <f t="shared" ref="L197:L260" si="7">IF(A197="","",A197+B197)</f>
        <v/>
      </c>
      <c r="M197" s="134" t="str">
        <f>IF(A197="","",IF(K197&gt;=Calendar!$AC$5,TEXT(A197,"yyyymmdd")&amp;"|"&amp;COUNTIFS($A$5:A197,A197,$K$5:K197,"&gt;="&amp;Calendar!$AC$5),""))</f>
        <v/>
      </c>
    </row>
    <row r="198" spans="1:13" ht="18" customHeight="1" x14ac:dyDescent="0.25">
      <c r="A198" s="132"/>
      <c r="B198" s="133"/>
      <c r="C198" s="127"/>
      <c r="D198" s="127"/>
      <c r="E198" s="127"/>
      <c r="F198" s="130"/>
      <c r="G198" s="127"/>
      <c r="H198" s="127"/>
      <c r="I198" s="127"/>
      <c r="J198" s="130"/>
      <c r="K198" s="134" t="str">
        <f t="shared" si="6"/>
        <v/>
      </c>
      <c r="L198" s="135" t="str">
        <f t="shared" si="7"/>
        <v/>
      </c>
      <c r="M198" s="134" t="str">
        <f>IF(A198="","",IF(K198&gt;=Calendar!$AC$5,TEXT(A198,"yyyymmdd")&amp;"|"&amp;COUNTIFS($A$5:A198,A198,$K$5:K198,"&gt;="&amp;Calendar!$AC$5),""))</f>
        <v/>
      </c>
    </row>
    <row r="199" spans="1:13" ht="18" customHeight="1" x14ac:dyDescent="0.25">
      <c r="A199" s="132"/>
      <c r="B199" s="133"/>
      <c r="C199" s="127"/>
      <c r="D199" s="127"/>
      <c r="E199" s="127"/>
      <c r="F199" s="130"/>
      <c r="G199" s="127"/>
      <c r="H199" s="127"/>
      <c r="I199" s="127"/>
      <c r="J199" s="130"/>
      <c r="K199" s="134" t="str">
        <f t="shared" si="6"/>
        <v/>
      </c>
      <c r="L199" s="135" t="str">
        <f t="shared" si="7"/>
        <v/>
      </c>
      <c r="M199" s="134" t="str">
        <f>IF(A199="","",IF(K199&gt;=Calendar!$AC$5,TEXT(A199,"yyyymmdd")&amp;"|"&amp;COUNTIFS($A$5:A199,A199,$K$5:K199,"&gt;="&amp;Calendar!$AC$5),""))</f>
        <v/>
      </c>
    </row>
    <row r="200" spans="1:13" ht="18" customHeight="1" x14ac:dyDescent="0.25">
      <c r="A200" s="132"/>
      <c r="B200" s="133"/>
      <c r="C200" s="127"/>
      <c r="D200" s="127"/>
      <c r="E200" s="127"/>
      <c r="F200" s="130"/>
      <c r="G200" s="127"/>
      <c r="H200" s="127"/>
      <c r="I200" s="127"/>
      <c r="J200" s="130"/>
      <c r="K200" s="134" t="str">
        <f t="shared" si="6"/>
        <v/>
      </c>
      <c r="L200" s="135" t="str">
        <f t="shared" si="7"/>
        <v/>
      </c>
      <c r="M200" s="134" t="str">
        <f>IF(A200="","",IF(K200&gt;=Calendar!$AC$5,TEXT(A200,"yyyymmdd")&amp;"|"&amp;COUNTIFS($A$5:A200,A200,$K$5:K200,"&gt;="&amp;Calendar!$AC$5),""))</f>
        <v/>
      </c>
    </row>
    <row r="201" spans="1:13" ht="18" customHeight="1" x14ac:dyDescent="0.25">
      <c r="A201" s="132"/>
      <c r="B201" s="133"/>
      <c r="C201" s="127"/>
      <c r="D201" s="127"/>
      <c r="E201" s="127"/>
      <c r="F201" s="130"/>
      <c r="G201" s="127"/>
      <c r="H201" s="127"/>
      <c r="I201" s="127"/>
      <c r="J201" s="130"/>
      <c r="K201" s="134" t="str">
        <f t="shared" si="6"/>
        <v/>
      </c>
      <c r="L201" s="135" t="str">
        <f t="shared" si="7"/>
        <v/>
      </c>
      <c r="M201" s="134" t="str">
        <f>IF(A201="","",IF(K201&gt;=Calendar!$AC$5,TEXT(A201,"yyyymmdd")&amp;"|"&amp;COUNTIFS($A$5:A201,A201,$K$5:K201,"&gt;="&amp;Calendar!$AC$5),""))</f>
        <v/>
      </c>
    </row>
    <row r="202" spans="1:13" ht="18" customHeight="1" x14ac:dyDescent="0.25">
      <c r="A202" s="132"/>
      <c r="B202" s="133"/>
      <c r="C202" s="127"/>
      <c r="D202" s="127"/>
      <c r="E202" s="127"/>
      <c r="F202" s="130"/>
      <c r="G202" s="127"/>
      <c r="H202" s="127"/>
      <c r="I202" s="127"/>
      <c r="J202" s="130"/>
      <c r="K202" s="134" t="str">
        <f t="shared" si="6"/>
        <v/>
      </c>
      <c r="L202" s="135" t="str">
        <f t="shared" si="7"/>
        <v/>
      </c>
      <c r="M202" s="134" t="str">
        <f>IF(A202="","",IF(K202&gt;=Calendar!$AC$5,TEXT(A202,"yyyymmdd")&amp;"|"&amp;COUNTIFS($A$5:A202,A202,$K$5:K202,"&gt;="&amp;Calendar!$AC$5),""))</f>
        <v/>
      </c>
    </row>
    <row r="203" spans="1:13" ht="18" customHeight="1" x14ac:dyDescent="0.25">
      <c r="A203" s="132"/>
      <c r="B203" s="133"/>
      <c r="C203" s="127"/>
      <c r="D203" s="127"/>
      <c r="E203" s="127"/>
      <c r="F203" s="130"/>
      <c r="G203" s="127"/>
      <c r="H203" s="127"/>
      <c r="I203" s="127"/>
      <c r="J203" s="130"/>
      <c r="K203" s="134" t="str">
        <f t="shared" si="6"/>
        <v/>
      </c>
      <c r="L203" s="135" t="str">
        <f t="shared" si="7"/>
        <v/>
      </c>
      <c r="M203" s="134" t="str">
        <f>IF(A203="","",IF(K203&gt;=Calendar!$AC$5,TEXT(A203,"yyyymmdd")&amp;"|"&amp;COUNTIFS($A$5:A203,A203,$K$5:K203,"&gt;="&amp;Calendar!$AC$5),""))</f>
        <v/>
      </c>
    </row>
    <row r="204" spans="1:13" ht="18" customHeight="1" x14ac:dyDescent="0.25">
      <c r="A204" s="132"/>
      <c r="B204" s="133"/>
      <c r="C204" s="127"/>
      <c r="D204" s="127"/>
      <c r="E204" s="127"/>
      <c r="F204" s="130"/>
      <c r="G204" s="127"/>
      <c r="H204" s="127"/>
      <c r="I204" s="127"/>
      <c r="J204" s="130"/>
      <c r="K204" s="134" t="str">
        <f t="shared" si="6"/>
        <v/>
      </c>
      <c r="L204" s="135" t="str">
        <f t="shared" si="7"/>
        <v/>
      </c>
      <c r="M204" s="134" t="str">
        <f>IF(A204="","",IF(K204&gt;=Calendar!$AC$5,TEXT(A204,"yyyymmdd")&amp;"|"&amp;COUNTIFS($A$5:A204,A204,$K$5:K204,"&gt;="&amp;Calendar!$AC$5),""))</f>
        <v/>
      </c>
    </row>
    <row r="205" spans="1:13" ht="18" customHeight="1" x14ac:dyDescent="0.25">
      <c r="A205" s="132"/>
      <c r="B205" s="133"/>
      <c r="C205" s="127"/>
      <c r="D205" s="127"/>
      <c r="E205" s="127"/>
      <c r="F205" s="130"/>
      <c r="G205" s="127"/>
      <c r="H205" s="127"/>
      <c r="I205" s="127"/>
      <c r="J205" s="130"/>
      <c r="K205" s="134" t="str">
        <f t="shared" si="6"/>
        <v/>
      </c>
      <c r="L205" s="135" t="str">
        <f t="shared" si="7"/>
        <v/>
      </c>
      <c r="M205" s="134" t="str">
        <f>IF(A205="","",IF(K205&gt;=Calendar!$AC$5,TEXT(A205,"yyyymmdd")&amp;"|"&amp;COUNTIFS($A$5:A205,A205,$K$5:K205,"&gt;="&amp;Calendar!$AC$5),""))</f>
        <v/>
      </c>
    </row>
    <row r="206" spans="1:13" ht="18" customHeight="1" x14ac:dyDescent="0.25">
      <c r="A206" s="132"/>
      <c r="B206" s="133"/>
      <c r="C206" s="127"/>
      <c r="D206" s="127"/>
      <c r="E206" s="127"/>
      <c r="F206" s="130"/>
      <c r="G206" s="127"/>
      <c r="H206" s="127"/>
      <c r="I206" s="127"/>
      <c r="J206" s="130"/>
      <c r="K206" s="134" t="str">
        <f t="shared" si="6"/>
        <v/>
      </c>
      <c r="L206" s="135" t="str">
        <f t="shared" si="7"/>
        <v/>
      </c>
      <c r="M206" s="134" t="str">
        <f>IF(A206="","",IF(K206&gt;=Calendar!$AC$5,TEXT(A206,"yyyymmdd")&amp;"|"&amp;COUNTIFS($A$5:A206,A206,$K$5:K206,"&gt;="&amp;Calendar!$AC$5),""))</f>
        <v/>
      </c>
    </row>
    <row r="207" spans="1:13" ht="18" customHeight="1" x14ac:dyDescent="0.25">
      <c r="A207" s="132"/>
      <c r="B207" s="133"/>
      <c r="C207" s="127"/>
      <c r="D207" s="127"/>
      <c r="E207" s="127"/>
      <c r="F207" s="130"/>
      <c r="G207" s="127"/>
      <c r="H207" s="127"/>
      <c r="I207" s="127"/>
      <c r="J207" s="130"/>
      <c r="K207" s="134" t="str">
        <f t="shared" si="6"/>
        <v/>
      </c>
      <c r="L207" s="135" t="str">
        <f t="shared" si="7"/>
        <v/>
      </c>
      <c r="M207" s="134" t="str">
        <f>IF(A207="","",IF(K207&gt;=Calendar!$AC$5,TEXT(A207,"yyyymmdd")&amp;"|"&amp;COUNTIFS($A$5:A207,A207,$K$5:K207,"&gt;="&amp;Calendar!$AC$5),""))</f>
        <v/>
      </c>
    </row>
    <row r="208" spans="1:13" ht="18" customHeight="1" x14ac:dyDescent="0.25">
      <c r="A208" s="132"/>
      <c r="B208" s="133"/>
      <c r="C208" s="127"/>
      <c r="D208" s="127"/>
      <c r="E208" s="127"/>
      <c r="F208" s="130"/>
      <c r="G208" s="127"/>
      <c r="H208" s="127"/>
      <c r="I208" s="127"/>
      <c r="J208" s="130"/>
      <c r="K208" s="134" t="str">
        <f t="shared" si="6"/>
        <v/>
      </c>
      <c r="L208" s="135" t="str">
        <f t="shared" si="7"/>
        <v/>
      </c>
      <c r="M208" s="134" t="str">
        <f>IF(A208="","",IF(K208&gt;=Calendar!$AC$5,TEXT(A208,"yyyymmdd")&amp;"|"&amp;COUNTIFS($A$5:A208,A208,$K$5:K208,"&gt;="&amp;Calendar!$AC$5),""))</f>
        <v/>
      </c>
    </row>
    <row r="209" spans="1:13" ht="18" customHeight="1" x14ac:dyDescent="0.25">
      <c r="A209" s="132"/>
      <c r="B209" s="133"/>
      <c r="C209" s="127"/>
      <c r="D209" s="127"/>
      <c r="E209" s="127"/>
      <c r="F209" s="130"/>
      <c r="G209" s="127"/>
      <c r="H209" s="127"/>
      <c r="I209" s="127"/>
      <c r="J209" s="130"/>
      <c r="K209" s="134" t="str">
        <f t="shared" si="6"/>
        <v/>
      </c>
      <c r="L209" s="135" t="str">
        <f t="shared" si="7"/>
        <v/>
      </c>
      <c r="M209" s="134" t="str">
        <f>IF(A209="","",IF(K209&gt;=Calendar!$AC$5,TEXT(A209,"yyyymmdd")&amp;"|"&amp;COUNTIFS($A$5:A209,A209,$K$5:K209,"&gt;="&amp;Calendar!$AC$5),""))</f>
        <v/>
      </c>
    </row>
    <row r="210" spans="1:13" ht="18" customHeight="1" x14ac:dyDescent="0.25">
      <c r="A210" s="132"/>
      <c r="B210" s="133"/>
      <c r="C210" s="127"/>
      <c r="D210" s="127"/>
      <c r="E210" s="127"/>
      <c r="F210" s="130"/>
      <c r="G210" s="127"/>
      <c r="H210" s="127"/>
      <c r="I210" s="127"/>
      <c r="J210" s="130"/>
      <c r="K210" s="134" t="str">
        <f t="shared" si="6"/>
        <v/>
      </c>
      <c r="L210" s="135" t="str">
        <f t="shared" si="7"/>
        <v/>
      </c>
      <c r="M210" s="134" t="str">
        <f>IF(A210="","",IF(K210&gt;=Calendar!$AC$5,TEXT(A210,"yyyymmdd")&amp;"|"&amp;COUNTIFS($A$5:A210,A210,$K$5:K210,"&gt;="&amp;Calendar!$AC$5),""))</f>
        <v/>
      </c>
    </row>
    <row r="211" spans="1:13" ht="18" customHeight="1" x14ac:dyDescent="0.25">
      <c r="A211" s="132"/>
      <c r="B211" s="133"/>
      <c r="C211" s="127"/>
      <c r="D211" s="127"/>
      <c r="E211" s="127"/>
      <c r="F211" s="130"/>
      <c r="G211" s="127"/>
      <c r="H211" s="127"/>
      <c r="I211" s="127"/>
      <c r="J211" s="130"/>
      <c r="K211" s="134" t="str">
        <f t="shared" si="6"/>
        <v/>
      </c>
      <c r="L211" s="135" t="str">
        <f t="shared" si="7"/>
        <v/>
      </c>
      <c r="M211" s="134" t="str">
        <f>IF(A211="","",IF(K211&gt;=Calendar!$AC$5,TEXT(A211,"yyyymmdd")&amp;"|"&amp;COUNTIFS($A$5:A211,A211,$K$5:K211,"&gt;="&amp;Calendar!$AC$5),""))</f>
        <v/>
      </c>
    </row>
    <row r="212" spans="1:13" ht="18" customHeight="1" x14ac:dyDescent="0.25">
      <c r="A212" s="132"/>
      <c r="B212" s="133"/>
      <c r="C212" s="127"/>
      <c r="D212" s="127"/>
      <c r="E212" s="127"/>
      <c r="F212" s="130"/>
      <c r="G212" s="127"/>
      <c r="H212" s="127"/>
      <c r="I212" s="127"/>
      <c r="J212" s="130"/>
      <c r="K212" s="134" t="str">
        <f t="shared" si="6"/>
        <v/>
      </c>
      <c r="L212" s="135" t="str">
        <f t="shared" si="7"/>
        <v/>
      </c>
      <c r="M212" s="134" t="str">
        <f>IF(A212="","",IF(K212&gt;=Calendar!$AC$5,TEXT(A212,"yyyymmdd")&amp;"|"&amp;COUNTIFS($A$5:A212,A212,$K$5:K212,"&gt;="&amp;Calendar!$AC$5),""))</f>
        <v/>
      </c>
    </row>
    <row r="213" spans="1:13" ht="18" customHeight="1" x14ac:dyDescent="0.25">
      <c r="A213" s="132"/>
      <c r="B213" s="133"/>
      <c r="C213" s="127"/>
      <c r="D213" s="127"/>
      <c r="E213" s="127"/>
      <c r="F213" s="130"/>
      <c r="G213" s="127"/>
      <c r="H213" s="127"/>
      <c r="I213" s="127"/>
      <c r="J213" s="130"/>
      <c r="K213" s="134" t="str">
        <f t="shared" si="6"/>
        <v/>
      </c>
      <c r="L213" s="135" t="str">
        <f t="shared" si="7"/>
        <v/>
      </c>
      <c r="M213" s="134" t="str">
        <f>IF(A213="","",IF(K213&gt;=Calendar!$AC$5,TEXT(A213,"yyyymmdd")&amp;"|"&amp;COUNTIFS($A$5:A213,A213,$K$5:K213,"&gt;="&amp;Calendar!$AC$5),""))</f>
        <v/>
      </c>
    </row>
    <row r="214" spans="1:13" ht="18" customHeight="1" x14ac:dyDescent="0.25">
      <c r="A214" s="132"/>
      <c r="B214" s="133"/>
      <c r="C214" s="127"/>
      <c r="D214" s="127"/>
      <c r="E214" s="127"/>
      <c r="F214" s="130"/>
      <c r="G214" s="127"/>
      <c r="H214" s="127"/>
      <c r="I214" s="127"/>
      <c r="J214" s="130"/>
      <c r="K214" s="134" t="str">
        <f t="shared" si="6"/>
        <v/>
      </c>
      <c r="L214" s="135" t="str">
        <f t="shared" si="7"/>
        <v/>
      </c>
      <c r="M214" s="134" t="str">
        <f>IF(A214="","",IF(K214&gt;=Calendar!$AC$5,TEXT(A214,"yyyymmdd")&amp;"|"&amp;COUNTIFS($A$5:A214,A214,$K$5:K214,"&gt;="&amp;Calendar!$AC$5),""))</f>
        <v/>
      </c>
    </row>
    <row r="215" spans="1:13" ht="18" customHeight="1" x14ac:dyDescent="0.25">
      <c r="A215" s="132"/>
      <c r="B215" s="133"/>
      <c r="C215" s="127"/>
      <c r="D215" s="127"/>
      <c r="E215" s="127"/>
      <c r="F215" s="130"/>
      <c r="G215" s="127"/>
      <c r="H215" s="127"/>
      <c r="I215" s="127"/>
      <c r="J215" s="130"/>
      <c r="K215" s="134" t="str">
        <f t="shared" si="6"/>
        <v/>
      </c>
      <c r="L215" s="135" t="str">
        <f t="shared" si="7"/>
        <v/>
      </c>
      <c r="M215" s="134" t="str">
        <f>IF(A215="","",IF(K215&gt;=Calendar!$AC$5,TEXT(A215,"yyyymmdd")&amp;"|"&amp;COUNTIFS($A$5:A215,A215,$K$5:K215,"&gt;="&amp;Calendar!$AC$5),""))</f>
        <v/>
      </c>
    </row>
    <row r="216" spans="1:13" ht="18" customHeight="1" x14ac:dyDescent="0.25">
      <c r="A216" s="132"/>
      <c r="B216" s="133"/>
      <c r="C216" s="127"/>
      <c r="D216" s="127"/>
      <c r="E216" s="127"/>
      <c r="F216" s="130"/>
      <c r="G216" s="127"/>
      <c r="H216" s="127"/>
      <c r="I216" s="127"/>
      <c r="J216" s="130"/>
      <c r="K216" s="134" t="str">
        <f t="shared" si="6"/>
        <v/>
      </c>
      <c r="L216" s="135" t="str">
        <f t="shared" si="7"/>
        <v/>
      </c>
      <c r="M216" s="134" t="str">
        <f>IF(A216="","",IF(K216&gt;=Calendar!$AC$5,TEXT(A216,"yyyymmdd")&amp;"|"&amp;COUNTIFS($A$5:A216,A216,$K$5:K216,"&gt;="&amp;Calendar!$AC$5),""))</f>
        <v/>
      </c>
    </row>
    <row r="217" spans="1:13" ht="18" customHeight="1" x14ac:dyDescent="0.25">
      <c r="A217" s="132"/>
      <c r="B217" s="133"/>
      <c r="C217" s="127"/>
      <c r="D217" s="127"/>
      <c r="E217" s="127"/>
      <c r="F217" s="130"/>
      <c r="G217" s="127"/>
      <c r="H217" s="127"/>
      <c r="I217" s="127"/>
      <c r="J217" s="130"/>
      <c r="K217" s="134" t="str">
        <f t="shared" si="6"/>
        <v/>
      </c>
      <c r="L217" s="135" t="str">
        <f t="shared" si="7"/>
        <v/>
      </c>
      <c r="M217" s="134" t="str">
        <f>IF(A217="","",IF(K217&gt;=Calendar!$AC$5,TEXT(A217,"yyyymmdd")&amp;"|"&amp;COUNTIFS($A$5:A217,A217,$K$5:K217,"&gt;="&amp;Calendar!$AC$5),""))</f>
        <v/>
      </c>
    </row>
    <row r="218" spans="1:13" ht="18" customHeight="1" x14ac:dyDescent="0.25">
      <c r="A218" s="132"/>
      <c r="B218" s="133"/>
      <c r="C218" s="127"/>
      <c r="D218" s="127"/>
      <c r="E218" s="127"/>
      <c r="F218" s="130"/>
      <c r="G218" s="127"/>
      <c r="H218" s="127"/>
      <c r="I218" s="127"/>
      <c r="J218" s="130"/>
      <c r="K218" s="134" t="str">
        <f t="shared" si="6"/>
        <v/>
      </c>
      <c r="L218" s="135" t="str">
        <f t="shared" si="7"/>
        <v/>
      </c>
      <c r="M218" s="134" t="str">
        <f>IF(A218="","",IF(K218&gt;=Calendar!$AC$5,TEXT(A218,"yyyymmdd")&amp;"|"&amp;COUNTIFS($A$5:A218,A218,$K$5:K218,"&gt;="&amp;Calendar!$AC$5),""))</f>
        <v/>
      </c>
    </row>
    <row r="219" spans="1:13" ht="18" customHeight="1" x14ac:dyDescent="0.25">
      <c r="A219" s="132"/>
      <c r="B219" s="133"/>
      <c r="C219" s="127"/>
      <c r="D219" s="127"/>
      <c r="E219" s="127"/>
      <c r="F219" s="130"/>
      <c r="G219" s="127"/>
      <c r="H219" s="127"/>
      <c r="I219" s="127"/>
      <c r="J219" s="130"/>
      <c r="K219" s="134" t="str">
        <f t="shared" si="6"/>
        <v/>
      </c>
      <c r="L219" s="135" t="str">
        <f t="shared" si="7"/>
        <v/>
      </c>
      <c r="M219" s="134" t="str">
        <f>IF(A219="","",IF(K219&gt;=Calendar!$AC$5,TEXT(A219,"yyyymmdd")&amp;"|"&amp;COUNTIFS($A$5:A219,A219,$K$5:K219,"&gt;="&amp;Calendar!$AC$5),""))</f>
        <v/>
      </c>
    </row>
    <row r="220" spans="1:13" ht="18" customHeight="1" x14ac:dyDescent="0.25">
      <c r="A220" s="132"/>
      <c r="B220" s="133"/>
      <c r="C220" s="127"/>
      <c r="D220" s="127"/>
      <c r="E220" s="127"/>
      <c r="F220" s="130"/>
      <c r="G220" s="127"/>
      <c r="H220" s="127"/>
      <c r="I220" s="127"/>
      <c r="J220" s="130"/>
      <c r="K220" s="134" t="str">
        <f t="shared" si="6"/>
        <v/>
      </c>
      <c r="L220" s="135" t="str">
        <f t="shared" si="7"/>
        <v/>
      </c>
      <c r="M220" s="134" t="str">
        <f>IF(A220="","",IF(K220&gt;=Calendar!$AC$5,TEXT(A220,"yyyymmdd")&amp;"|"&amp;COUNTIFS($A$5:A220,A220,$K$5:K220,"&gt;="&amp;Calendar!$AC$5),""))</f>
        <v/>
      </c>
    </row>
    <row r="221" spans="1:13" ht="18" customHeight="1" x14ac:dyDescent="0.25">
      <c r="A221" s="132"/>
      <c r="B221" s="133"/>
      <c r="C221" s="127"/>
      <c r="D221" s="127"/>
      <c r="E221" s="127"/>
      <c r="F221" s="130"/>
      <c r="G221" s="127"/>
      <c r="H221" s="127"/>
      <c r="I221" s="127"/>
      <c r="J221" s="130"/>
      <c r="K221" s="134" t="str">
        <f t="shared" si="6"/>
        <v/>
      </c>
      <c r="L221" s="135" t="str">
        <f t="shared" si="7"/>
        <v/>
      </c>
      <c r="M221" s="134" t="str">
        <f>IF(A221="","",IF(K221&gt;=Calendar!$AC$5,TEXT(A221,"yyyymmdd")&amp;"|"&amp;COUNTIFS($A$5:A221,A221,$K$5:K221,"&gt;="&amp;Calendar!$AC$5),""))</f>
        <v/>
      </c>
    </row>
    <row r="222" spans="1:13" ht="18" customHeight="1" x14ac:dyDescent="0.25">
      <c r="A222" s="132"/>
      <c r="B222" s="133"/>
      <c r="C222" s="127"/>
      <c r="D222" s="127"/>
      <c r="E222" s="127"/>
      <c r="F222" s="130"/>
      <c r="G222" s="127"/>
      <c r="H222" s="127"/>
      <c r="I222" s="127"/>
      <c r="J222" s="130"/>
      <c r="K222" s="134" t="str">
        <f t="shared" si="6"/>
        <v/>
      </c>
      <c r="L222" s="135" t="str">
        <f t="shared" si="7"/>
        <v/>
      </c>
      <c r="M222" s="134" t="str">
        <f>IF(A222="","",IF(K222&gt;=Calendar!$AC$5,TEXT(A222,"yyyymmdd")&amp;"|"&amp;COUNTIFS($A$5:A222,A222,$K$5:K222,"&gt;="&amp;Calendar!$AC$5),""))</f>
        <v/>
      </c>
    </row>
    <row r="223" spans="1:13" ht="18" customHeight="1" x14ac:dyDescent="0.25">
      <c r="A223" s="132"/>
      <c r="B223" s="133"/>
      <c r="C223" s="127"/>
      <c r="D223" s="127"/>
      <c r="E223" s="127"/>
      <c r="F223" s="130"/>
      <c r="G223" s="127"/>
      <c r="H223" s="127"/>
      <c r="I223" s="127"/>
      <c r="J223" s="130"/>
      <c r="K223" s="134" t="str">
        <f t="shared" si="6"/>
        <v/>
      </c>
      <c r="L223" s="135" t="str">
        <f t="shared" si="7"/>
        <v/>
      </c>
      <c r="M223" s="134" t="str">
        <f>IF(A223="","",IF(K223&gt;=Calendar!$AC$5,TEXT(A223,"yyyymmdd")&amp;"|"&amp;COUNTIFS($A$5:A223,A223,$K$5:K223,"&gt;="&amp;Calendar!$AC$5),""))</f>
        <v/>
      </c>
    </row>
    <row r="224" spans="1:13" ht="18" customHeight="1" x14ac:dyDescent="0.25">
      <c r="A224" s="132"/>
      <c r="B224" s="133"/>
      <c r="C224" s="127"/>
      <c r="D224" s="127"/>
      <c r="E224" s="127"/>
      <c r="F224" s="130"/>
      <c r="G224" s="127"/>
      <c r="H224" s="127"/>
      <c r="I224" s="127"/>
      <c r="J224" s="130"/>
      <c r="K224" s="134" t="str">
        <f t="shared" si="6"/>
        <v/>
      </c>
      <c r="L224" s="135" t="str">
        <f t="shared" si="7"/>
        <v/>
      </c>
      <c r="M224" s="134" t="str">
        <f>IF(A224="","",IF(K224&gt;=Calendar!$AC$5,TEXT(A224,"yyyymmdd")&amp;"|"&amp;COUNTIFS($A$5:A224,A224,$K$5:K224,"&gt;="&amp;Calendar!$AC$5),""))</f>
        <v/>
      </c>
    </row>
    <row r="225" spans="1:13" ht="18" customHeight="1" x14ac:dyDescent="0.25">
      <c r="A225" s="132"/>
      <c r="B225" s="133"/>
      <c r="C225" s="127"/>
      <c r="D225" s="127"/>
      <c r="E225" s="127"/>
      <c r="F225" s="130"/>
      <c r="G225" s="127"/>
      <c r="H225" s="127"/>
      <c r="I225" s="127"/>
      <c r="J225" s="130"/>
      <c r="K225" s="134" t="str">
        <f t="shared" si="6"/>
        <v/>
      </c>
      <c r="L225" s="135" t="str">
        <f t="shared" si="7"/>
        <v/>
      </c>
      <c r="M225" s="134" t="str">
        <f>IF(A225="","",IF(K225&gt;=Calendar!$AC$5,TEXT(A225,"yyyymmdd")&amp;"|"&amp;COUNTIFS($A$5:A225,A225,$K$5:K225,"&gt;="&amp;Calendar!$AC$5),""))</f>
        <v/>
      </c>
    </row>
    <row r="226" spans="1:13" ht="18" customHeight="1" x14ac:dyDescent="0.25">
      <c r="A226" s="132"/>
      <c r="B226" s="133"/>
      <c r="C226" s="127"/>
      <c r="D226" s="127"/>
      <c r="E226" s="127"/>
      <c r="F226" s="130"/>
      <c r="G226" s="127"/>
      <c r="H226" s="127"/>
      <c r="I226" s="127"/>
      <c r="J226" s="130"/>
      <c r="K226" s="134" t="str">
        <f t="shared" si="6"/>
        <v/>
      </c>
      <c r="L226" s="135" t="str">
        <f t="shared" si="7"/>
        <v/>
      </c>
      <c r="M226" s="134" t="str">
        <f>IF(A226="","",IF(K226&gt;=Calendar!$AC$5,TEXT(A226,"yyyymmdd")&amp;"|"&amp;COUNTIFS($A$5:A226,A226,$K$5:K226,"&gt;="&amp;Calendar!$AC$5),""))</f>
        <v/>
      </c>
    </row>
    <row r="227" spans="1:13" ht="18" customHeight="1" x14ac:dyDescent="0.25">
      <c r="A227" s="132"/>
      <c r="B227" s="133"/>
      <c r="C227" s="127"/>
      <c r="D227" s="127"/>
      <c r="E227" s="127"/>
      <c r="F227" s="130"/>
      <c r="G227" s="127"/>
      <c r="H227" s="127"/>
      <c r="I227" s="127"/>
      <c r="J227" s="130"/>
      <c r="K227" s="134" t="str">
        <f t="shared" si="6"/>
        <v/>
      </c>
      <c r="L227" s="135" t="str">
        <f t="shared" si="7"/>
        <v/>
      </c>
      <c r="M227" s="134" t="str">
        <f>IF(A227="","",IF(K227&gt;=Calendar!$AC$5,TEXT(A227,"yyyymmdd")&amp;"|"&amp;COUNTIFS($A$5:A227,A227,$K$5:K227,"&gt;="&amp;Calendar!$AC$5),""))</f>
        <v/>
      </c>
    </row>
    <row r="228" spans="1:13" ht="18" customHeight="1" x14ac:dyDescent="0.25">
      <c r="A228" s="132"/>
      <c r="B228" s="133"/>
      <c r="C228" s="127"/>
      <c r="D228" s="127"/>
      <c r="E228" s="127"/>
      <c r="F228" s="130"/>
      <c r="G228" s="127"/>
      <c r="H228" s="127"/>
      <c r="I228" s="127"/>
      <c r="J228" s="130"/>
      <c r="K228" s="134" t="str">
        <f t="shared" si="6"/>
        <v/>
      </c>
      <c r="L228" s="135" t="str">
        <f t="shared" si="7"/>
        <v/>
      </c>
      <c r="M228" s="134" t="str">
        <f>IF(A228="","",IF(K228&gt;=Calendar!$AC$5,TEXT(A228,"yyyymmdd")&amp;"|"&amp;COUNTIFS($A$5:A228,A228,$K$5:K228,"&gt;="&amp;Calendar!$AC$5),""))</f>
        <v/>
      </c>
    </row>
    <row r="229" spans="1:13" ht="18" customHeight="1" x14ac:dyDescent="0.25">
      <c r="A229" s="132"/>
      <c r="B229" s="133"/>
      <c r="C229" s="127"/>
      <c r="D229" s="127"/>
      <c r="E229" s="127"/>
      <c r="F229" s="130"/>
      <c r="G229" s="127"/>
      <c r="H229" s="127"/>
      <c r="I229" s="127"/>
      <c r="J229" s="130"/>
      <c r="K229" s="134" t="str">
        <f t="shared" si="6"/>
        <v/>
      </c>
      <c r="L229" s="135" t="str">
        <f t="shared" si="7"/>
        <v/>
      </c>
      <c r="M229" s="134" t="str">
        <f>IF(A229="","",IF(K229&gt;=Calendar!$AC$5,TEXT(A229,"yyyymmdd")&amp;"|"&amp;COUNTIFS($A$5:A229,A229,$K$5:K229,"&gt;="&amp;Calendar!$AC$5),""))</f>
        <v/>
      </c>
    </row>
    <row r="230" spans="1:13" ht="18" customHeight="1" x14ac:dyDescent="0.25">
      <c r="A230" s="132"/>
      <c r="B230" s="133"/>
      <c r="C230" s="127"/>
      <c r="D230" s="127"/>
      <c r="E230" s="127"/>
      <c r="F230" s="130"/>
      <c r="G230" s="127"/>
      <c r="H230" s="127"/>
      <c r="I230" s="127"/>
      <c r="J230" s="130"/>
      <c r="K230" s="134" t="str">
        <f t="shared" si="6"/>
        <v/>
      </c>
      <c r="L230" s="135" t="str">
        <f t="shared" si="7"/>
        <v/>
      </c>
      <c r="M230" s="134" t="str">
        <f>IF(A230="","",IF(K230&gt;=Calendar!$AC$5,TEXT(A230,"yyyymmdd")&amp;"|"&amp;COUNTIFS($A$5:A230,A230,$K$5:K230,"&gt;="&amp;Calendar!$AC$5),""))</f>
        <v/>
      </c>
    </row>
    <row r="231" spans="1:13" ht="18" customHeight="1" x14ac:dyDescent="0.25">
      <c r="A231" s="132"/>
      <c r="B231" s="133"/>
      <c r="C231" s="127"/>
      <c r="D231" s="127"/>
      <c r="E231" s="127"/>
      <c r="F231" s="130"/>
      <c r="G231" s="127"/>
      <c r="H231" s="127"/>
      <c r="I231" s="127"/>
      <c r="J231" s="130"/>
      <c r="K231" s="134" t="str">
        <f t="shared" si="6"/>
        <v/>
      </c>
      <c r="L231" s="135" t="str">
        <f t="shared" si="7"/>
        <v/>
      </c>
      <c r="M231" s="134" t="str">
        <f>IF(A231="","",IF(K231&gt;=Calendar!$AC$5,TEXT(A231,"yyyymmdd")&amp;"|"&amp;COUNTIFS($A$5:A231,A231,$K$5:K231,"&gt;="&amp;Calendar!$AC$5),""))</f>
        <v/>
      </c>
    </row>
    <row r="232" spans="1:13" ht="18" customHeight="1" x14ac:dyDescent="0.25">
      <c r="A232" s="132"/>
      <c r="B232" s="133"/>
      <c r="C232" s="127"/>
      <c r="D232" s="127"/>
      <c r="E232" s="127"/>
      <c r="F232" s="130"/>
      <c r="G232" s="127"/>
      <c r="H232" s="127"/>
      <c r="I232" s="127"/>
      <c r="J232" s="130"/>
      <c r="K232" s="134" t="str">
        <f t="shared" si="6"/>
        <v/>
      </c>
      <c r="L232" s="135" t="str">
        <f t="shared" si="7"/>
        <v/>
      </c>
      <c r="M232" s="134" t="str">
        <f>IF(A232="","",IF(K232&gt;=Calendar!$AC$5,TEXT(A232,"yyyymmdd")&amp;"|"&amp;COUNTIFS($A$5:A232,A232,$K$5:K232,"&gt;="&amp;Calendar!$AC$5),""))</f>
        <v/>
      </c>
    </row>
    <row r="233" spans="1:13" ht="18" customHeight="1" x14ac:dyDescent="0.25">
      <c r="A233" s="132"/>
      <c r="B233" s="133"/>
      <c r="C233" s="127"/>
      <c r="D233" s="127"/>
      <c r="E233" s="127"/>
      <c r="F233" s="130"/>
      <c r="G233" s="127"/>
      <c r="H233" s="127"/>
      <c r="I233" s="127"/>
      <c r="J233" s="130"/>
      <c r="K233" s="134" t="str">
        <f t="shared" si="6"/>
        <v/>
      </c>
      <c r="L233" s="135" t="str">
        <f t="shared" si="7"/>
        <v/>
      </c>
      <c r="M233" s="134" t="str">
        <f>IF(A233="","",IF(K233&gt;=Calendar!$AC$5,TEXT(A233,"yyyymmdd")&amp;"|"&amp;COUNTIFS($A$5:A233,A233,$K$5:K233,"&gt;="&amp;Calendar!$AC$5),""))</f>
        <v/>
      </c>
    </row>
    <row r="234" spans="1:13" ht="18" customHeight="1" x14ac:dyDescent="0.25">
      <c r="A234" s="132"/>
      <c r="B234" s="133"/>
      <c r="C234" s="127"/>
      <c r="D234" s="127"/>
      <c r="E234" s="127"/>
      <c r="F234" s="130"/>
      <c r="G234" s="127"/>
      <c r="H234" s="127"/>
      <c r="I234" s="127"/>
      <c r="J234" s="130"/>
      <c r="K234" s="134" t="str">
        <f t="shared" si="6"/>
        <v/>
      </c>
      <c r="L234" s="135" t="str">
        <f t="shared" si="7"/>
        <v/>
      </c>
      <c r="M234" s="134" t="str">
        <f>IF(A234="","",IF(K234&gt;=Calendar!$AC$5,TEXT(A234,"yyyymmdd")&amp;"|"&amp;COUNTIFS($A$5:A234,A234,$K$5:K234,"&gt;="&amp;Calendar!$AC$5),""))</f>
        <v/>
      </c>
    </row>
    <row r="235" spans="1:13" ht="18" customHeight="1" x14ac:dyDescent="0.25">
      <c r="A235" s="132"/>
      <c r="B235" s="133"/>
      <c r="C235" s="127"/>
      <c r="D235" s="127"/>
      <c r="E235" s="127"/>
      <c r="F235" s="130"/>
      <c r="G235" s="127"/>
      <c r="H235" s="127"/>
      <c r="I235" s="127"/>
      <c r="J235" s="130"/>
      <c r="K235" s="134" t="str">
        <f t="shared" si="6"/>
        <v/>
      </c>
      <c r="L235" s="135" t="str">
        <f t="shared" si="7"/>
        <v/>
      </c>
      <c r="M235" s="134" t="str">
        <f>IF(A235="","",IF(K235&gt;=Calendar!$AC$5,TEXT(A235,"yyyymmdd")&amp;"|"&amp;COUNTIFS($A$5:A235,A235,$K$5:K235,"&gt;="&amp;Calendar!$AC$5),""))</f>
        <v/>
      </c>
    </row>
    <row r="236" spans="1:13" ht="18" customHeight="1" x14ac:dyDescent="0.25">
      <c r="A236" s="132"/>
      <c r="B236" s="133"/>
      <c r="C236" s="127"/>
      <c r="D236" s="127"/>
      <c r="E236" s="127"/>
      <c r="F236" s="130"/>
      <c r="G236" s="127"/>
      <c r="H236" s="127"/>
      <c r="I236" s="127"/>
      <c r="J236" s="130"/>
      <c r="K236" s="134" t="str">
        <f t="shared" si="6"/>
        <v/>
      </c>
      <c r="L236" s="135" t="str">
        <f t="shared" si="7"/>
        <v/>
      </c>
      <c r="M236" s="134" t="str">
        <f>IF(A236="","",IF(K236&gt;=Calendar!$AC$5,TEXT(A236,"yyyymmdd")&amp;"|"&amp;COUNTIFS($A$5:A236,A236,$K$5:K236,"&gt;="&amp;Calendar!$AC$5),""))</f>
        <v/>
      </c>
    </row>
    <row r="237" spans="1:13" ht="18" customHeight="1" x14ac:dyDescent="0.25">
      <c r="A237" s="132"/>
      <c r="B237" s="133"/>
      <c r="C237" s="127"/>
      <c r="D237" s="127"/>
      <c r="E237" s="127"/>
      <c r="F237" s="130"/>
      <c r="G237" s="127"/>
      <c r="H237" s="127"/>
      <c r="I237" s="127"/>
      <c r="J237" s="130"/>
      <c r="K237" s="134" t="str">
        <f t="shared" si="6"/>
        <v/>
      </c>
      <c r="L237" s="135" t="str">
        <f t="shared" si="7"/>
        <v/>
      </c>
      <c r="M237" s="134" t="str">
        <f>IF(A237="","",IF(K237&gt;=Calendar!$AC$5,TEXT(A237,"yyyymmdd")&amp;"|"&amp;COUNTIFS($A$5:A237,A237,$K$5:K237,"&gt;="&amp;Calendar!$AC$5),""))</f>
        <v/>
      </c>
    </row>
    <row r="238" spans="1:13" ht="18" customHeight="1" x14ac:dyDescent="0.25">
      <c r="A238" s="132"/>
      <c r="B238" s="133"/>
      <c r="C238" s="127"/>
      <c r="D238" s="127"/>
      <c r="E238" s="127"/>
      <c r="F238" s="130"/>
      <c r="G238" s="127"/>
      <c r="H238" s="127"/>
      <c r="I238" s="127"/>
      <c r="J238" s="130"/>
      <c r="K238" s="134" t="str">
        <f t="shared" si="6"/>
        <v/>
      </c>
      <c r="L238" s="135" t="str">
        <f t="shared" si="7"/>
        <v/>
      </c>
      <c r="M238" s="134" t="str">
        <f>IF(A238="","",IF(K238&gt;=Calendar!$AC$5,TEXT(A238,"yyyymmdd")&amp;"|"&amp;COUNTIFS($A$5:A238,A238,$K$5:K238,"&gt;="&amp;Calendar!$AC$5),""))</f>
        <v/>
      </c>
    </row>
    <row r="239" spans="1:13" ht="18" customHeight="1" x14ac:dyDescent="0.25">
      <c r="A239" s="132"/>
      <c r="B239" s="133"/>
      <c r="C239" s="127"/>
      <c r="D239" s="127"/>
      <c r="E239" s="127"/>
      <c r="F239" s="130"/>
      <c r="G239" s="127"/>
      <c r="H239" s="127"/>
      <c r="I239" s="127"/>
      <c r="J239" s="130"/>
      <c r="K239" s="134" t="str">
        <f t="shared" si="6"/>
        <v/>
      </c>
      <c r="L239" s="135" t="str">
        <f t="shared" si="7"/>
        <v/>
      </c>
      <c r="M239" s="134" t="str">
        <f>IF(A239="","",IF(K239&gt;=Calendar!$AC$5,TEXT(A239,"yyyymmdd")&amp;"|"&amp;COUNTIFS($A$5:A239,A239,$K$5:K239,"&gt;="&amp;Calendar!$AC$5),""))</f>
        <v/>
      </c>
    </row>
    <row r="240" spans="1:13" ht="18" customHeight="1" x14ac:dyDescent="0.25">
      <c r="A240" s="132"/>
      <c r="B240" s="133"/>
      <c r="C240" s="127"/>
      <c r="D240" s="127"/>
      <c r="E240" s="127"/>
      <c r="F240" s="130"/>
      <c r="G240" s="127"/>
      <c r="H240" s="127"/>
      <c r="I240" s="127"/>
      <c r="J240" s="130"/>
      <c r="K240" s="134" t="str">
        <f t="shared" si="6"/>
        <v/>
      </c>
      <c r="L240" s="135" t="str">
        <f t="shared" si="7"/>
        <v/>
      </c>
      <c r="M240" s="134" t="str">
        <f>IF(A240="","",IF(K240&gt;=Calendar!$AC$5,TEXT(A240,"yyyymmdd")&amp;"|"&amp;COUNTIFS($A$5:A240,A240,$K$5:K240,"&gt;="&amp;Calendar!$AC$5),""))</f>
        <v/>
      </c>
    </row>
    <row r="241" spans="1:13" ht="18" customHeight="1" x14ac:dyDescent="0.25">
      <c r="A241" s="132"/>
      <c r="B241" s="133"/>
      <c r="C241" s="127"/>
      <c r="D241" s="127"/>
      <c r="E241" s="127"/>
      <c r="F241" s="130"/>
      <c r="G241" s="127"/>
      <c r="H241" s="127"/>
      <c r="I241" s="127"/>
      <c r="J241" s="130"/>
      <c r="K241" s="134" t="str">
        <f t="shared" si="6"/>
        <v/>
      </c>
      <c r="L241" s="135" t="str">
        <f t="shared" si="7"/>
        <v/>
      </c>
      <c r="M241" s="134" t="str">
        <f>IF(A241="","",IF(K241&gt;=Calendar!$AC$5,TEXT(A241,"yyyymmdd")&amp;"|"&amp;COUNTIFS($A$5:A241,A241,$K$5:K241,"&gt;="&amp;Calendar!$AC$5),""))</f>
        <v/>
      </c>
    </row>
    <row r="242" spans="1:13" ht="18" customHeight="1" x14ac:dyDescent="0.25">
      <c r="A242" s="132"/>
      <c r="B242" s="133"/>
      <c r="C242" s="127"/>
      <c r="D242" s="127"/>
      <c r="E242" s="127"/>
      <c r="F242" s="130"/>
      <c r="G242" s="127"/>
      <c r="H242" s="127"/>
      <c r="I242" s="127"/>
      <c r="J242" s="130"/>
      <c r="K242" s="134" t="str">
        <f t="shared" si="6"/>
        <v/>
      </c>
      <c r="L242" s="135" t="str">
        <f t="shared" si="7"/>
        <v/>
      </c>
      <c r="M242" s="134" t="str">
        <f>IF(A242="","",IF(K242&gt;=Calendar!$AC$5,TEXT(A242,"yyyymmdd")&amp;"|"&amp;COUNTIFS($A$5:A242,A242,$K$5:K242,"&gt;="&amp;Calendar!$AC$5),""))</f>
        <v/>
      </c>
    </row>
    <row r="243" spans="1:13" ht="18" customHeight="1" x14ac:dyDescent="0.25">
      <c r="A243" s="132"/>
      <c r="B243" s="133"/>
      <c r="C243" s="127"/>
      <c r="D243" s="127"/>
      <c r="E243" s="127"/>
      <c r="F243" s="130"/>
      <c r="G243" s="127"/>
      <c r="H243" s="127"/>
      <c r="I243" s="127"/>
      <c r="J243" s="130"/>
      <c r="K243" s="134" t="str">
        <f t="shared" si="6"/>
        <v/>
      </c>
      <c r="L243" s="135" t="str">
        <f t="shared" si="7"/>
        <v/>
      </c>
      <c r="M243" s="134" t="str">
        <f>IF(A243="","",IF(K243&gt;=Calendar!$AC$5,TEXT(A243,"yyyymmdd")&amp;"|"&amp;COUNTIFS($A$5:A243,A243,$K$5:K243,"&gt;="&amp;Calendar!$AC$5),""))</f>
        <v/>
      </c>
    </row>
    <row r="244" spans="1:13" ht="18" customHeight="1" x14ac:dyDescent="0.25">
      <c r="A244" s="132"/>
      <c r="B244" s="133"/>
      <c r="C244" s="127"/>
      <c r="D244" s="127"/>
      <c r="E244" s="127"/>
      <c r="F244" s="130"/>
      <c r="G244" s="127"/>
      <c r="H244" s="127"/>
      <c r="I244" s="127"/>
      <c r="J244" s="130"/>
      <c r="K244" s="134" t="str">
        <f t="shared" si="6"/>
        <v/>
      </c>
      <c r="L244" s="135" t="str">
        <f t="shared" si="7"/>
        <v/>
      </c>
      <c r="M244" s="134" t="str">
        <f>IF(A244="","",IF(K244&gt;=Calendar!$AC$5,TEXT(A244,"yyyymmdd")&amp;"|"&amp;COUNTIFS($A$5:A244,A244,$K$5:K244,"&gt;="&amp;Calendar!$AC$5),""))</f>
        <v/>
      </c>
    </row>
    <row r="245" spans="1:13" ht="18" customHeight="1" x14ac:dyDescent="0.25">
      <c r="A245" s="132"/>
      <c r="B245" s="133"/>
      <c r="C245" s="127"/>
      <c r="D245" s="127"/>
      <c r="E245" s="127"/>
      <c r="F245" s="130"/>
      <c r="G245" s="127"/>
      <c r="H245" s="127"/>
      <c r="I245" s="127"/>
      <c r="J245" s="130"/>
      <c r="K245" s="134" t="str">
        <f t="shared" si="6"/>
        <v/>
      </c>
      <c r="L245" s="135" t="str">
        <f t="shared" si="7"/>
        <v/>
      </c>
      <c r="M245" s="134" t="str">
        <f>IF(A245="","",IF(K245&gt;=Calendar!$AC$5,TEXT(A245,"yyyymmdd")&amp;"|"&amp;COUNTIFS($A$5:A245,A245,$K$5:K245,"&gt;="&amp;Calendar!$AC$5),""))</f>
        <v/>
      </c>
    </row>
    <row r="246" spans="1:13" ht="18" customHeight="1" x14ac:dyDescent="0.25">
      <c r="A246" s="132"/>
      <c r="B246" s="133"/>
      <c r="C246" s="127"/>
      <c r="D246" s="127"/>
      <c r="E246" s="127"/>
      <c r="F246" s="130"/>
      <c r="G246" s="127"/>
      <c r="H246" s="127"/>
      <c r="I246" s="127"/>
      <c r="J246" s="130"/>
      <c r="K246" s="134" t="str">
        <f t="shared" si="6"/>
        <v/>
      </c>
      <c r="L246" s="135" t="str">
        <f t="shared" si="7"/>
        <v/>
      </c>
      <c r="M246" s="134" t="str">
        <f>IF(A246="","",IF(K246&gt;=Calendar!$AC$5,TEXT(A246,"yyyymmdd")&amp;"|"&amp;COUNTIFS($A$5:A246,A246,$K$5:K246,"&gt;="&amp;Calendar!$AC$5),""))</f>
        <v/>
      </c>
    </row>
    <row r="247" spans="1:13" ht="18" customHeight="1" x14ac:dyDescent="0.25">
      <c r="A247" s="132"/>
      <c r="B247" s="133"/>
      <c r="C247" s="127"/>
      <c r="D247" s="127"/>
      <c r="E247" s="127"/>
      <c r="F247" s="130"/>
      <c r="G247" s="127"/>
      <c r="H247" s="127"/>
      <c r="I247" s="127"/>
      <c r="J247" s="130"/>
      <c r="K247" s="134" t="str">
        <f t="shared" si="6"/>
        <v/>
      </c>
      <c r="L247" s="135" t="str">
        <f t="shared" si="7"/>
        <v/>
      </c>
      <c r="M247" s="134" t="str">
        <f>IF(A247="","",IF(K247&gt;=Calendar!$AC$5,TEXT(A247,"yyyymmdd")&amp;"|"&amp;COUNTIFS($A$5:A247,A247,$K$5:K247,"&gt;="&amp;Calendar!$AC$5),""))</f>
        <v/>
      </c>
    </row>
    <row r="248" spans="1:13" ht="18" customHeight="1" x14ac:dyDescent="0.25">
      <c r="A248" s="132"/>
      <c r="B248" s="133"/>
      <c r="C248" s="127"/>
      <c r="D248" s="127"/>
      <c r="E248" s="127"/>
      <c r="F248" s="130"/>
      <c r="G248" s="127"/>
      <c r="H248" s="127"/>
      <c r="I248" s="127"/>
      <c r="J248" s="130"/>
      <c r="K248" s="134" t="str">
        <f t="shared" si="6"/>
        <v/>
      </c>
      <c r="L248" s="135" t="str">
        <f t="shared" si="7"/>
        <v/>
      </c>
      <c r="M248" s="134" t="str">
        <f>IF(A248="","",IF(K248&gt;=Calendar!$AC$5,TEXT(A248,"yyyymmdd")&amp;"|"&amp;COUNTIFS($A$5:A248,A248,$K$5:K248,"&gt;="&amp;Calendar!$AC$5),""))</f>
        <v/>
      </c>
    </row>
    <row r="249" spans="1:13" ht="18" customHeight="1" x14ac:dyDescent="0.25">
      <c r="A249" s="132"/>
      <c r="B249" s="133"/>
      <c r="C249" s="127"/>
      <c r="D249" s="127"/>
      <c r="E249" s="127"/>
      <c r="F249" s="130"/>
      <c r="G249" s="127"/>
      <c r="H249" s="127"/>
      <c r="I249" s="127"/>
      <c r="J249" s="130"/>
      <c r="K249" s="134" t="str">
        <f t="shared" si="6"/>
        <v/>
      </c>
      <c r="L249" s="135" t="str">
        <f t="shared" si="7"/>
        <v/>
      </c>
      <c r="M249" s="134" t="str">
        <f>IF(A249="","",IF(K249&gt;=Calendar!$AC$5,TEXT(A249,"yyyymmdd")&amp;"|"&amp;COUNTIFS($A$5:A249,A249,$K$5:K249,"&gt;="&amp;Calendar!$AC$5),""))</f>
        <v/>
      </c>
    </row>
    <row r="250" spans="1:13" ht="18" customHeight="1" x14ac:dyDescent="0.25">
      <c r="A250" s="132"/>
      <c r="B250" s="133"/>
      <c r="C250" s="127"/>
      <c r="D250" s="127"/>
      <c r="E250" s="127"/>
      <c r="F250" s="130"/>
      <c r="G250" s="127"/>
      <c r="H250" s="127"/>
      <c r="I250" s="127"/>
      <c r="J250" s="130"/>
      <c r="K250" s="134" t="str">
        <f t="shared" si="6"/>
        <v/>
      </c>
      <c r="L250" s="135" t="str">
        <f t="shared" si="7"/>
        <v/>
      </c>
      <c r="M250" s="134" t="str">
        <f>IF(A250="","",IF(K250&gt;=Calendar!$AC$5,TEXT(A250,"yyyymmdd")&amp;"|"&amp;COUNTIFS($A$5:A250,A250,$K$5:K250,"&gt;="&amp;Calendar!$AC$5),""))</f>
        <v/>
      </c>
    </row>
    <row r="251" spans="1:13" ht="18" customHeight="1" x14ac:dyDescent="0.25">
      <c r="A251" s="132"/>
      <c r="B251" s="133"/>
      <c r="C251" s="127"/>
      <c r="D251" s="127"/>
      <c r="E251" s="127"/>
      <c r="F251" s="130"/>
      <c r="G251" s="127"/>
      <c r="H251" s="127"/>
      <c r="I251" s="127"/>
      <c r="J251" s="130"/>
      <c r="K251" s="134" t="str">
        <f t="shared" si="6"/>
        <v/>
      </c>
      <c r="L251" s="135" t="str">
        <f t="shared" si="7"/>
        <v/>
      </c>
      <c r="M251" s="134" t="str">
        <f>IF(A251="","",IF(K251&gt;=Calendar!$AC$5,TEXT(A251,"yyyymmdd")&amp;"|"&amp;COUNTIFS($A$5:A251,A251,$K$5:K251,"&gt;="&amp;Calendar!$AC$5),""))</f>
        <v/>
      </c>
    </row>
    <row r="252" spans="1:13" ht="18" customHeight="1" x14ac:dyDescent="0.25">
      <c r="A252" s="132"/>
      <c r="B252" s="133"/>
      <c r="C252" s="127"/>
      <c r="D252" s="127"/>
      <c r="E252" s="127"/>
      <c r="F252" s="130"/>
      <c r="G252" s="127"/>
      <c r="H252" s="127"/>
      <c r="I252" s="127"/>
      <c r="J252" s="130"/>
      <c r="K252" s="134" t="str">
        <f t="shared" si="6"/>
        <v/>
      </c>
      <c r="L252" s="135" t="str">
        <f t="shared" si="7"/>
        <v/>
      </c>
      <c r="M252" s="134" t="str">
        <f>IF(A252="","",IF(K252&gt;=Calendar!$AC$5,TEXT(A252,"yyyymmdd")&amp;"|"&amp;COUNTIFS($A$5:A252,A252,$K$5:K252,"&gt;="&amp;Calendar!$AC$5),""))</f>
        <v/>
      </c>
    </row>
    <row r="253" spans="1:13" ht="18" customHeight="1" x14ac:dyDescent="0.25">
      <c r="A253" s="132"/>
      <c r="B253" s="133"/>
      <c r="C253" s="127"/>
      <c r="D253" s="127"/>
      <c r="E253" s="127"/>
      <c r="F253" s="130"/>
      <c r="G253" s="127"/>
      <c r="H253" s="127"/>
      <c r="I253" s="127"/>
      <c r="J253" s="130"/>
      <c r="K253" s="134" t="str">
        <f t="shared" si="6"/>
        <v/>
      </c>
      <c r="L253" s="135" t="str">
        <f t="shared" si="7"/>
        <v/>
      </c>
      <c r="M253" s="134" t="str">
        <f>IF(A253="","",IF(K253&gt;=Calendar!$AC$5,TEXT(A253,"yyyymmdd")&amp;"|"&amp;COUNTIFS($A$5:A253,A253,$K$5:K253,"&gt;="&amp;Calendar!$AC$5),""))</f>
        <v/>
      </c>
    </row>
    <row r="254" spans="1:13" ht="18" customHeight="1" x14ac:dyDescent="0.25">
      <c r="A254" s="132"/>
      <c r="B254" s="133"/>
      <c r="C254" s="127"/>
      <c r="D254" s="127"/>
      <c r="E254" s="127"/>
      <c r="F254" s="130"/>
      <c r="G254" s="127"/>
      <c r="H254" s="127"/>
      <c r="I254" s="127"/>
      <c r="J254" s="130"/>
      <c r="K254" s="134" t="str">
        <f t="shared" si="6"/>
        <v/>
      </c>
      <c r="L254" s="135" t="str">
        <f t="shared" si="7"/>
        <v/>
      </c>
      <c r="M254" s="134" t="str">
        <f>IF(A254="","",IF(K254&gt;=Calendar!$AC$5,TEXT(A254,"yyyymmdd")&amp;"|"&amp;COUNTIFS($A$5:A254,A254,$K$5:K254,"&gt;="&amp;Calendar!$AC$5),""))</f>
        <v/>
      </c>
    </row>
    <row r="255" spans="1:13" ht="18" customHeight="1" x14ac:dyDescent="0.25">
      <c r="A255" s="132"/>
      <c r="B255" s="133"/>
      <c r="C255" s="127"/>
      <c r="D255" s="127"/>
      <c r="E255" s="127"/>
      <c r="F255" s="130"/>
      <c r="G255" s="127"/>
      <c r="H255" s="127"/>
      <c r="I255" s="127"/>
      <c r="J255" s="130"/>
      <c r="K255" s="134" t="str">
        <f t="shared" si="6"/>
        <v/>
      </c>
      <c r="L255" s="135" t="str">
        <f t="shared" si="7"/>
        <v/>
      </c>
      <c r="M255" s="134" t="str">
        <f>IF(A255="","",IF(K255&gt;=Calendar!$AC$5,TEXT(A255,"yyyymmdd")&amp;"|"&amp;COUNTIFS($A$5:A255,A255,$K$5:K255,"&gt;="&amp;Calendar!$AC$5),""))</f>
        <v/>
      </c>
    </row>
    <row r="256" spans="1:13" ht="18" customHeight="1" x14ac:dyDescent="0.25">
      <c r="A256" s="132"/>
      <c r="B256" s="133"/>
      <c r="C256" s="127"/>
      <c r="D256" s="127"/>
      <c r="E256" s="127"/>
      <c r="F256" s="130"/>
      <c r="G256" s="127"/>
      <c r="H256" s="127"/>
      <c r="I256" s="127"/>
      <c r="J256" s="130"/>
      <c r="K256" s="134" t="str">
        <f t="shared" si="6"/>
        <v/>
      </c>
      <c r="L256" s="135" t="str">
        <f t="shared" si="7"/>
        <v/>
      </c>
      <c r="M256" s="134" t="str">
        <f>IF(A256="","",IF(K256&gt;=Calendar!$AC$5,TEXT(A256,"yyyymmdd")&amp;"|"&amp;COUNTIFS($A$5:A256,A256,$K$5:K256,"&gt;="&amp;Calendar!$AC$5),""))</f>
        <v/>
      </c>
    </row>
    <row r="257" spans="1:13" ht="18" customHeight="1" x14ac:dyDescent="0.25">
      <c r="A257" s="132"/>
      <c r="B257" s="133"/>
      <c r="C257" s="127"/>
      <c r="D257" s="127"/>
      <c r="E257" s="127"/>
      <c r="F257" s="130"/>
      <c r="G257" s="127"/>
      <c r="H257" s="127"/>
      <c r="I257" s="127"/>
      <c r="J257" s="130"/>
      <c r="K257" s="134" t="str">
        <f t="shared" si="6"/>
        <v/>
      </c>
      <c r="L257" s="135" t="str">
        <f t="shared" si="7"/>
        <v/>
      </c>
      <c r="M257" s="134" t="str">
        <f>IF(A257="","",IF(K257&gt;=Calendar!$AC$5,TEXT(A257,"yyyymmdd")&amp;"|"&amp;COUNTIFS($A$5:A257,A257,$K$5:K257,"&gt;="&amp;Calendar!$AC$5),""))</f>
        <v/>
      </c>
    </row>
    <row r="258" spans="1:13" ht="18" customHeight="1" x14ac:dyDescent="0.25">
      <c r="A258" s="132"/>
      <c r="B258" s="133"/>
      <c r="C258" s="127"/>
      <c r="D258" s="127"/>
      <c r="E258" s="127"/>
      <c r="F258" s="130"/>
      <c r="G258" s="127"/>
      <c r="H258" s="127"/>
      <c r="I258" s="127"/>
      <c r="J258" s="130"/>
      <c r="K258" s="134" t="str">
        <f t="shared" si="6"/>
        <v/>
      </c>
      <c r="L258" s="135" t="str">
        <f t="shared" si="7"/>
        <v/>
      </c>
      <c r="M258" s="134" t="str">
        <f>IF(A258="","",IF(K258&gt;=Calendar!$AC$5,TEXT(A258,"yyyymmdd")&amp;"|"&amp;COUNTIFS($A$5:A258,A258,$K$5:K258,"&gt;="&amp;Calendar!$AC$5),""))</f>
        <v/>
      </c>
    </row>
    <row r="259" spans="1:13" ht="18" customHeight="1" x14ac:dyDescent="0.25">
      <c r="A259" s="132"/>
      <c r="B259" s="133"/>
      <c r="C259" s="127"/>
      <c r="D259" s="127"/>
      <c r="E259" s="127"/>
      <c r="F259" s="130"/>
      <c r="G259" s="127"/>
      <c r="H259" s="127"/>
      <c r="I259" s="127"/>
      <c r="J259" s="130"/>
      <c r="K259" s="134" t="str">
        <f t="shared" si="6"/>
        <v/>
      </c>
      <c r="L259" s="135" t="str">
        <f t="shared" si="7"/>
        <v/>
      </c>
      <c r="M259" s="134" t="str">
        <f>IF(A259="","",IF(K259&gt;=Calendar!$AC$5,TEXT(A259,"yyyymmdd")&amp;"|"&amp;COUNTIFS($A$5:A259,A259,$K$5:K259,"&gt;="&amp;Calendar!$AC$5),""))</f>
        <v/>
      </c>
    </row>
    <row r="260" spans="1:13" ht="18" customHeight="1" x14ac:dyDescent="0.25">
      <c r="A260" s="132"/>
      <c r="B260" s="133"/>
      <c r="C260" s="127"/>
      <c r="D260" s="127"/>
      <c r="E260" s="127"/>
      <c r="F260" s="130"/>
      <c r="G260" s="127"/>
      <c r="H260" s="127"/>
      <c r="I260" s="127"/>
      <c r="J260" s="130"/>
      <c r="K260" s="134" t="str">
        <f t="shared" si="6"/>
        <v/>
      </c>
      <c r="L260" s="135" t="str">
        <f t="shared" si="7"/>
        <v/>
      </c>
      <c r="M260" s="134" t="str">
        <f>IF(A260="","",IF(K260&gt;=Calendar!$AC$5,TEXT(A260,"yyyymmdd")&amp;"|"&amp;COUNTIFS($A$5:A260,A260,$K$5:K260,"&gt;="&amp;Calendar!$AC$5),""))</f>
        <v/>
      </c>
    </row>
    <row r="261" spans="1:13" ht="18" customHeight="1" x14ac:dyDescent="0.25">
      <c r="A261" s="132"/>
      <c r="B261" s="133"/>
      <c r="C261" s="127"/>
      <c r="D261" s="127"/>
      <c r="E261" s="127"/>
      <c r="F261" s="130"/>
      <c r="G261" s="127"/>
      <c r="H261" s="127"/>
      <c r="I261" s="127"/>
      <c r="J261" s="130"/>
      <c r="K261" s="134" t="str">
        <f t="shared" ref="K261:K304" si="8">IF(A261="","",IF(D261="High",3,IF(OR(D261="Medium",D261="Holiday"),2,1)))</f>
        <v/>
      </c>
      <c r="L261" s="135" t="str">
        <f t="shared" ref="L261:L304" si="9">IF(A261="","",A261+B261)</f>
        <v/>
      </c>
      <c r="M261" s="134" t="str">
        <f>IF(A261="","",IF(K261&gt;=Calendar!$AC$5,TEXT(A261,"yyyymmdd")&amp;"|"&amp;COUNTIFS($A$5:A261,A261,$K$5:K261,"&gt;="&amp;Calendar!$AC$5),""))</f>
        <v/>
      </c>
    </row>
    <row r="262" spans="1:13" ht="18" customHeight="1" x14ac:dyDescent="0.25">
      <c r="A262" s="132"/>
      <c r="B262" s="133"/>
      <c r="C262" s="127"/>
      <c r="D262" s="127"/>
      <c r="E262" s="127"/>
      <c r="F262" s="130"/>
      <c r="G262" s="127"/>
      <c r="H262" s="127"/>
      <c r="I262" s="127"/>
      <c r="J262" s="130"/>
      <c r="K262" s="134" t="str">
        <f t="shared" si="8"/>
        <v/>
      </c>
      <c r="L262" s="135" t="str">
        <f t="shared" si="9"/>
        <v/>
      </c>
      <c r="M262" s="134" t="str">
        <f>IF(A262="","",IF(K262&gt;=Calendar!$AC$5,TEXT(A262,"yyyymmdd")&amp;"|"&amp;COUNTIFS($A$5:A262,A262,$K$5:K262,"&gt;="&amp;Calendar!$AC$5),""))</f>
        <v/>
      </c>
    </row>
    <row r="263" spans="1:13" ht="18" customHeight="1" x14ac:dyDescent="0.25">
      <c r="A263" s="132"/>
      <c r="B263" s="133"/>
      <c r="C263" s="127"/>
      <c r="D263" s="127"/>
      <c r="E263" s="127"/>
      <c r="F263" s="130"/>
      <c r="G263" s="127"/>
      <c r="H263" s="127"/>
      <c r="I263" s="127"/>
      <c r="J263" s="130"/>
      <c r="K263" s="134" t="str">
        <f t="shared" si="8"/>
        <v/>
      </c>
      <c r="L263" s="135" t="str">
        <f t="shared" si="9"/>
        <v/>
      </c>
      <c r="M263" s="134" t="str">
        <f>IF(A263="","",IF(K263&gt;=Calendar!$AC$5,TEXT(A263,"yyyymmdd")&amp;"|"&amp;COUNTIFS($A$5:A263,A263,$K$5:K263,"&gt;="&amp;Calendar!$AC$5),""))</f>
        <v/>
      </c>
    </row>
    <row r="264" spans="1:13" ht="18" customHeight="1" x14ac:dyDescent="0.25">
      <c r="A264" s="132"/>
      <c r="B264" s="133"/>
      <c r="C264" s="127"/>
      <c r="D264" s="127"/>
      <c r="E264" s="127"/>
      <c r="F264" s="130"/>
      <c r="G264" s="127"/>
      <c r="H264" s="127"/>
      <c r="I264" s="127"/>
      <c r="J264" s="130"/>
      <c r="K264" s="134" t="str">
        <f t="shared" si="8"/>
        <v/>
      </c>
      <c r="L264" s="135" t="str">
        <f t="shared" si="9"/>
        <v/>
      </c>
      <c r="M264" s="134" t="str">
        <f>IF(A264="","",IF(K264&gt;=Calendar!$AC$5,TEXT(A264,"yyyymmdd")&amp;"|"&amp;COUNTIFS($A$5:A264,A264,$K$5:K264,"&gt;="&amp;Calendar!$AC$5),""))</f>
        <v/>
      </c>
    </row>
    <row r="265" spans="1:13" ht="18" customHeight="1" x14ac:dyDescent="0.25">
      <c r="A265" s="132"/>
      <c r="B265" s="133"/>
      <c r="C265" s="127"/>
      <c r="D265" s="127"/>
      <c r="E265" s="127"/>
      <c r="F265" s="130"/>
      <c r="G265" s="127"/>
      <c r="H265" s="127"/>
      <c r="I265" s="127"/>
      <c r="J265" s="130"/>
      <c r="K265" s="134" t="str">
        <f t="shared" si="8"/>
        <v/>
      </c>
      <c r="L265" s="135" t="str">
        <f t="shared" si="9"/>
        <v/>
      </c>
      <c r="M265" s="134" t="str">
        <f>IF(A265="","",IF(K265&gt;=Calendar!$AC$5,TEXT(A265,"yyyymmdd")&amp;"|"&amp;COUNTIFS($A$5:A265,A265,$K$5:K265,"&gt;="&amp;Calendar!$AC$5),""))</f>
        <v/>
      </c>
    </row>
    <row r="266" spans="1:13" ht="18" customHeight="1" x14ac:dyDescent="0.25">
      <c r="A266" s="132"/>
      <c r="B266" s="133"/>
      <c r="C266" s="127"/>
      <c r="D266" s="127"/>
      <c r="E266" s="127"/>
      <c r="F266" s="130"/>
      <c r="G266" s="127"/>
      <c r="H266" s="127"/>
      <c r="I266" s="127"/>
      <c r="J266" s="130"/>
      <c r="K266" s="134" t="str">
        <f t="shared" si="8"/>
        <v/>
      </c>
      <c r="L266" s="135" t="str">
        <f t="shared" si="9"/>
        <v/>
      </c>
      <c r="M266" s="134" t="str">
        <f>IF(A266="","",IF(K266&gt;=Calendar!$AC$5,TEXT(A266,"yyyymmdd")&amp;"|"&amp;COUNTIFS($A$5:A266,A266,$K$5:K266,"&gt;="&amp;Calendar!$AC$5),""))</f>
        <v/>
      </c>
    </row>
    <row r="267" spans="1:13" ht="18" customHeight="1" x14ac:dyDescent="0.25">
      <c r="A267" s="132"/>
      <c r="B267" s="133"/>
      <c r="C267" s="127"/>
      <c r="D267" s="127"/>
      <c r="E267" s="127"/>
      <c r="F267" s="130"/>
      <c r="G267" s="127"/>
      <c r="H267" s="127"/>
      <c r="I267" s="127"/>
      <c r="J267" s="130"/>
      <c r="K267" s="134" t="str">
        <f t="shared" si="8"/>
        <v/>
      </c>
      <c r="L267" s="135" t="str">
        <f t="shared" si="9"/>
        <v/>
      </c>
      <c r="M267" s="134" t="str">
        <f>IF(A267="","",IF(K267&gt;=Calendar!$AC$5,TEXT(A267,"yyyymmdd")&amp;"|"&amp;COUNTIFS($A$5:A267,A267,$K$5:K267,"&gt;="&amp;Calendar!$AC$5),""))</f>
        <v/>
      </c>
    </row>
    <row r="268" spans="1:13" ht="18" customHeight="1" x14ac:dyDescent="0.25">
      <c r="A268" s="132"/>
      <c r="B268" s="133"/>
      <c r="C268" s="127"/>
      <c r="D268" s="127"/>
      <c r="E268" s="127"/>
      <c r="F268" s="130"/>
      <c r="G268" s="127"/>
      <c r="H268" s="127"/>
      <c r="I268" s="127"/>
      <c r="J268" s="130"/>
      <c r="K268" s="134" t="str">
        <f t="shared" si="8"/>
        <v/>
      </c>
      <c r="L268" s="135" t="str">
        <f t="shared" si="9"/>
        <v/>
      </c>
      <c r="M268" s="134" t="str">
        <f>IF(A268="","",IF(K268&gt;=Calendar!$AC$5,TEXT(A268,"yyyymmdd")&amp;"|"&amp;COUNTIFS($A$5:A268,A268,$K$5:K268,"&gt;="&amp;Calendar!$AC$5),""))</f>
        <v/>
      </c>
    </row>
    <row r="269" spans="1:13" ht="18" customHeight="1" x14ac:dyDescent="0.25">
      <c r="A269" s="132"/>
      <c r="B269" s="133"/>
      <c r="C269" s="127"/>
      <c r="D269" s="127"/>
      <c r="E269" s="127"/>
      <c r="F269" s="130"/>
      <c r="G269" s="127"/>
      <c r="H269" s="127"/>
      <c r="I269" s="127"/>
      <c r="J269" s="130"/>
      <c r="K269" s="134" t="str">
        <f t="shared" si="8"/>
        <v/>
      </c>
      <c r="L269" s="135" t="str">
        <f t="shared" si="9"/>
        <v/>
      </c>
      <c r="M269" s="134" t="str">
        <f>IF(A269="","",IF(K269&gt;=Calendar!$AC$5,TEXT(A269,"yyyymmdd")&amp;"|"&amp;COUNTIFS($A$5:A269,A269,$K$5:K269,"&gt;="&amp;Calendar!$AC$5),""))</f>
        <v/>
      </c>
    </row>
    <row r="270" spans="1:13" ht="18" customHeight="1" x14ac:dyDescent="0.25">
      <c r="A270" s="132"/>
      <c r="B270" s="133"/>
      <c r="C270" s="127"/>
      <c r="D270" s="127"/>
      <c r="E270" s="127"/>
      <c r="F270" s="130"/>
      <c r="G270" s="127"/>
      <c r="H270" s="127"/>
      <c r="I270" s="127"/>
      <c r="J270" s="130"/>
      <c r="K270" s="134" t="str">
        <f t="shared" si="8"/>
        <v/>
      </c>
      <c r="L270" s="135" t="str">
        <f t="shared" si="9"/>
        <v/>
      </c>
      <c r="M270" s="134" t="str">
        <f>IF(A270="","",IF(K270&gt;=Calendar!$AC$5,TEXT(A270,"yyyymmdd")&amp;"|"&amp;COUNTIFS($A$5:A270,A270,$K$5:K270,"&gt;="&amp;Calendar!$AC$5),""))</f>
        <v/>
      </c>
    </row>
    <row r="271" spans="1:13" ht="18" customHeight="1" x14ac:dyDescent="0.25">
      <c r="A271" s="132"/>
      <c r="B271" s="133"/>
      <c r="C271" s="127"/>
      <c r="D271" s="127"/>
      <c r="E271" s="127"/>
      <c r="F271" s="130"/>
      <c r="G271" s="127"/>
      <c r="H271" s="127"/>
      <c r="I271" s="127"/>
      <c r="J271" s="130"/>
      <c r="K271" s="134" t="str">
        <f t="shared" si="8"/>
        <v/>
      </c>
      <c r="L271" s="135" t="str">
        <f t="shared" si="9"/>
        <v/>
      </c>
      <c r="M271" s="134" t="str">
        <f>IF(A271="","",IF(K271&gt;=Calendar!$AC$5,TEXT(A271,"yyyymmdd")&amp;"|"&amp;COUNTIFS($A$5:A271,A271,$K$5:K271,"&gt;="&amp;Calendar!$AC$5),""))</f>
        <v/>
      </c>
    </row>
    <row r="272" spans="1:13" ht="18" customHeight="1" x14ac:dyDescent="0.25">
      <c r="A272" s="132"/>
      <c r="B272" s="133"/>
      <c r="C272" s="127"/>
      <c r="D272" s="127"/>
      <c r="E272" s="127"/>
      <c r="F272" s="130"/>
      <c r="G272" s="127"/>
      <c r="H272" s="127"/>
      <c r="I272" s="127"/>
      <c r="J272" s="130"/>
      <c r="K272" s="134" t="str">
        <f t="shared" si="8"/>
        <v/>
      </c>
      <c r="L272" s="135" t="str">
        <f t="shared" si="9"/>
        <v/>
      </c>
      <c r="M272" s="134" t="str">
        <f>IF(A272="","",IF(K272&gt;=Calendar!$AC$5,TEXT(A272,"yyyymmdd")&amp;"|"&amp;COUNTIFS($A$5:A272,A272,$K$5:K272,"&gt;="&amp;Calendar!$AC$5),""))</f>
        <v/>
      </c>
    </row>
    <row r="273" spans="1:13" ht="18" customHeight="1" x14ac:dyDescent="0.25">
      <c r="A273" s="132"/>
      <c r="B273" s="133"/>
      <c r="C273" s="127"/>
      <c r="D273" s="127"/>
      <c r="E273" s="127"/>
      <c r="F273" s="130"/>
      <c r="G273" s="127"/>
      <c r="H273" s="127"/>
      <c r="I273" s="127"/>
      <c r="J273" s="130"/>
      <c r="K273" s="134" t="str">
        <f t="shared" si="8"/>
        <v/>
      </c>
      <c r="L273" s="135" t="str">
        <f t="shared" si="9"/>
        <v/>
      </c>
      <c r="M273" s="134" t="str">
        <f>IF(A273="","",IF(K273&gt;=Calendar!$AC$5,TEXT(A273,"yyyymmdd")&amp;"|"&amp;COUNTIFS($A$5:A273,A273,$K$5:K273,"&gt;="&amp;Calendar!$AC$5),""))</f>
        <v/>
      </c>
    </row>
    <row r="274" spans="1:13" ht="18" customHeight="1" x14ac:dyDescent="0.25">
      <c r="A274" s="132"/>
      <c r="B274" s="133"/>
      <c r="C274" s="127"/>
      <c r="D274" s="127"/>
      <c r="E274" s="127"/>
      <c r="F274" s="130"/>
      <c r="G274" s="127"/>
      <c r="H274" s="127"/>
      <c r="I274" s="127"/>
      <c r="J274" s="130"/>
      <c r="K274" s="134" t="str">
        <f t="shared" si="8"/>
        <v/>
      </c>
      <c r="L274" s="135" t="str">
        <f t="shared" si="9"/>
        <v/>
      </c>
      <c r="M274" s="134" t="str">
        <f>IF(A274="","",IF(K274&gt;=Calendar!$AC$5,TEXT(A274,"yyyymmdd")&amp;"|"&amp;COUNTIFS($A$5:A274,A274,$K$5:K274,"&gt;="&amp;Calendar!$AC$5),""))</f>
        <v/>
      </c>
    </row>
    <row r="275" spans="1:13" ht="18" customHeight="1" x14ac:dyDescent="0.25">
      <c r="A275" s="132"/>
      <c r="B275" s="133"/>
      <c r="C275" s="127"/>
      <c r="D275" s="127"/>
      <c r="E275" s="127"/>
      <c r="F275" s="130"/>
      <c r="G275" s="127"/>
      <c r="H275" s="127"/>
      <c r="I275" s="127"/>
      <c r="J275" s="130"/>
      <c r="K275" s="134" t="str">
        <f t="shared" si="8"/>
        <v/>
      </c>
      <c r="L275" s="135" t="str">
        <f t="shared" si="9"/>
        <v/>
      </c>
      <c r="M275" s="134" t="str">
        <f>IF(A275="","",IF(K275&gt;=Calendar!$AC$5,TEXT(A275,"yyyymmdd")&amp;"|"&amp;COUNTIFS($A$5:A275,A275,$K$5:K275,"&gt;="&amp;Calendar!$AC$5),""))</f>
        <v/>
      </c>
    </row>
    <row r="276" spans="1:13" ht="18" customHeight="1" x14ac:dyDescent="0.25">
      <c r="A276" s="132"/>
      <c r="B276" s="133"/>
      <c r="C276" s="127"/>
      <c r="D276" s="127"/>
      <c r="E276" s="127"/>
      <c r="F276" s="130"/>
      <c r="G276" s="127"/>
      <c r="H276" s="127"/>
      <c r="I276" s="127"/>
      <c r="J276" s="130"/>
      <c r="K276" s="134" t="str">
        <f t="shared" si="8"/>
        <v/>
      </c>
      <c r="L276" s="135" t="str">
        <f t="shared" si="9"/>
        <v/>
      </c>
      <c r="M276" s="134" t="str">
        <f>IF(A276="","",IF(K276&gt;=Calendar!$AC$5,TEXT(A276,"yyyymmdd")&amp;"|"&amp;COUNTIFS($A$5:A276,A276,$K$5:K276,"&gt;="&amp;Calendar!$AC$5),""))</f>
        <v/>
      </c>
    </row>
    <row r="277" spans="1:13" ht="18" customHeight="1" x14ac:dyDescent="0.25">
      <c r="A277" s="132"/>
      <c r="B277" s="133"/>
      <c r="C277" s="127"/>
      <c r="D277" s="127"/>
      <c r="E277" s="127"/>
      <c r="F277" s="130"/>
      <c r="G277" s="127"/>
      <c r="H277" s="127"/>
      <c r="I277" s="127"/>
      <c r="J277" s="130"/>
      <c r="K277" s="134" t="str">
        <f t="shared" si="8"/>
        <v/>
      </c>
      <c r="L277" s="135" t="str">
        <f t="shared" si="9"/>
        <v/>
      </c>
      <c r="M277" s="134" t="str">
        <f>IF(A277="","",IF(K277&gt;=Calendar!$AC$5,TEXT(A277,"yyyymmdd")&amp;"|"&amp;COUNTIFS($A$5:A277,A277,$K$5:K277,"&gt;="&amp;Calendar!$AC$5),""))</f>
        <v/>
      </c>
    </row>
    <row r="278" spans="1:13" ht="18" customHeight="1" x14ac:dyDescent="0.25">
      <c r="A278" s="132"/>
      <c r="B278" s="133"/>
      <c r="C278" s="127"/>
      <c r="D278" s="127"/>
      <c r="E278" s="127"/>
      <c r="F278" s="130"/>
      <c r="G278" s="127"/>
      <c r="H278" s="127"/>
      <c r="I278" s="127"/>
      <c r="J278" s="130"/>
      <c r="K278" s="134" t="str">
        <f t="shared" si="8"/>
        <v/>
      </c>
      <c r="L278" s="135" t="str">
        <f t="shared" si="9"/>
        <v/>
      </c>
      <c r="M278" s="134" t="str">
        <f>IF(A278="","",IF(K278&gt;=Calendar!$AC$5,TEXT(A278,"yyyymmdd")&amp;"|"&amp;COUNTIFS($A$5:A278,A278,$K$5:K278,"&gt;="&amp;Calendar!$AC$5),""))</f>
        <v/>
      </c>
    </row>
    <row r="279" spans="1:13" ht="18" customHeight="1" x14ac:dyDescent="0.25">
      <c r="A279" s="132"/>
      <c r="B279" s="133"/>
      <c r="C279" s="127"/>
      <c r="D279" s="127"/>
      <c r="E279" s="127"/>
      <c r="F279" s="130"/>
      <c r="G279" s="127"/>
      <c r="H279" s="127"/>
      <c r="I279" s="127"/>
      <c r="J279" s="130"/>
      <c r="K279" s="134" t="str">
        <f t="shared" si="8"/>
        <v/>
      </c>
      <c r="L279" s="135" t="str">
        <f t="shared" si="9"/>
        <v/>
      </c>
      <c r="M279" s="134" t="str">
        <f>IF(A279="","",IF(K279&gt;=Calendar!$AC$5,TEXT(A279,"yyyymmdd")&amp;"|"&amp;COUNTIFS($A$5:A279,A279,$K$5:K279,"&gt;="&amp;Calendar!$AC$5),""))</f>
        <v/>
      </c>
    </row>
    <row r="280" spans="1:13" ht="18" customHeight="1" x14ac:dyDescent="0.25">
      <c r="A280" s="132"/>
      <c r="B280" s="133"/>
      <c r="C280" s="127"/>
      <c r="D280" s="127"/>
      <c r="E280" s="127"/>
      <c r="F280" s="130"/>
      <c r="G280" s="127"/>
      <c r="H280" s="127"/>
      <c r="I280" s="127"/>
      <c r="J280" s="130"/>
      <c r="K280" s="134" t="str">
        <f t="shared" si="8"/>
        <v/>
      </c>
      <c r="L280" s="135" t="str">
        <f t="shared" si="9"/>
        <v/>
      </c>
      <c r="M280" s="134" t="str">
        <f>IF(A280="","",IF(K280&gt;=Calendar!$AC$5,TEXT(A280,"yyyymmdd")&amp;"|"&amp;COUNTIFS($A$5:A280,A280,$K$5:K280,"&gt;="&amp;Calendar!$AC$5),""))</f>
        <v/>
      </c>
    </row>
    <row r="281" spans="1:13" ht="18" customHeight="1" x14ac:dyDescent="0.25">
      <c r="A281" s="132"/>
      <c r="B281" s="133"/>
      <c r="C281" s="127"/>
      <c r="D281" s="127"/>
      <c r="E281" s="127"/>
      <c r="F281" s="130"/>
      <c r="G281" s="127"/>
      <c r="H281" s="127"/>
      <c r="I281" s="127"/>
      <c r="J281" s="130"/>
      <c r="K281" s="134" t="str">
        <f t="shared" si="8"/>
        <v/>
      </c>
      <c r="L281" s="135" t="str">
        <f t="shared" si="9"/>
        <v/>
      </c>
      <c r="M281" s="134" t="str">
        <f>IF(A281="","",IF(K281&gt;=Calendar!$AC$5,TEXT(A281,"yyyymmdd")&amp;"|"&amp;COUNTIFS($A$5:A281,A281,$K$5:K281,"&gt;="&amp;Calendar!$AC$5),""))</f>
        <v/>
      </c>
    </row>
    <row r="282" spans="1:13" ht="18" customHeight="1" x14ac:dyDescent="0.25">
      <c r="A282" s="132"/>
      <c r="B282" s="133"/>
      <c r="C282" s="127"/>
      <c r="D282" s="127"/>
      <c r="E282" s="127"/>
      <c r="F282" s="130"/>
      <c r="G282" s="127"/>
      <c r="H282" s="127"/>
      <c r="I282" s="127"/>
      <c r="J282" s="130"/>
      <c r="K282" s="134" t="str">
        <f t="shared" si="8"/>
        <v/>
      </c>
      <c r="L282" s="135" t="str">
        <f t="shared" si="9"/>
        <v/>
      </c>
      <c r="M282" s="134" t="str">
        <f>IF(A282="","",IF(K282&gt;=Calendar!$AC$5,TEXT(A282,"yyyymmdd")&amp;"|"&amp;COUNTIFS($A$5:A282,A282,$K$5:K282,"&gt;="&amp;Calendar!$AC$5),""))</f>
        <v/>
      </c>
    </row>
    <row r="283" spans="1:13" ht="18" customHeight="1" x14ac:dyDescent="0.25">
      <c r="A283" s="132"/>
      <c r="B283" s="133"/>
      <c r="C283" s="127"/>
      <c r="D283" s="127"/>
      <c r="E283" s="127"/>
      <c r="F283" s="130"/>
      <c r="G283" s="127"/>
      <c r="H283" s="127"/>
      <c r="I283" s="127"/>
      <c r="J283" s="130"/>
      <c r="K283" s="134" t="str">
        <f t="shared" si="8"/>
        <v/>
      </c>
      <c r="L283" s="135" t="str">
        <f t="shared" si="9"/>
        <v/>
      </c>
      <c r="M283" s="134" t="str">
        <f>IF(A283="","",IF(K283&gt;=Calendar!$AC$5,TEXT(A283,"yyyymmdd")&amp;"|"&amp;COUNTIFS($A$5:A283,A283,$K$5:K283,"&gt;="&amp;Calendar!$AC$5),""))</f>
        <v/>
      </c>
    </row>
    <row r="284" spans="1:13" ht="18" customHeight="1" x14ac:dyDescent="0.25">
      <c r="A284" s="132"/>
      <c r="B284" s="133"/>
      <c r="C284" s="127"/>
      <c r="D284" s="127"/>
      <c r="E284" s="127"/>
      <c r="F284" s="130"/>
      <c r="G284" s="127"/>
      <c r="H284" s="127"/>
      <c r="I284" s="127"/>
      <c r="J284" s="130"/>
      <c r="K284" s="134" t="str">
        <f t="shared" si="8"/>
        <v/>
      </c>
      <c r="L284" s="135" t="str">
        <f t="shared" si="9"/>
        <v/>
      </c>
      <c r="M284" s="134" t="str">
        <f>IF(A284="","",IF(K284&gt;=Calendar!$AC$5,TEXT(A284,"yyyymmdd")&amp;"|"&amp;COUNTIFS($A$5:A284,A284,$K$5:K284,"&gt;="&amp;Calendar!$AC$5),""))</f>
        <v/>
      </c>
    </row>
    <row r="285" spans="1:13" ht="18" customHeight="1" x14ac:dyDescent="0.25">
      <c r="A285" s="132"/>
      <c r="B285" s="133"/>
      <c r="C285" s="127"/>
      <c r="D285" s="127"/>
      <c r="E285" s="127"/>
      <c r="F285" s="130"/>
      <c r="G285" s="127"/>
      <c r="H285" s="127"/>
      <c r="I285" s="127"/>
      <c r="J285" s="130"/>
      <c r="K285" s="134" t="str">
        <f t="shared" si="8"/>
        <v/>
      </c>
      <c r="L285" s="135" t="str">
        <f t="shared" si="9"/>
        <v/>
      </c>
      <c r="M285" s="134" t="str">
        <f>IF(A285="","",IF(K285&gt;=Calendar!$AC$5,TEXT(A285,"yyyymmdd")&amp;"|"&amp;COUNTIFS($A$5:A285,A285,$K$5:K285,"&gt;="&amp;Calendar!$AC$5),""))</f>
        <v/>
      </c>
    </row>
    <row r="286" spans="1:13" ht="18" customHeight="1" x14ac:dyDescent="0.25">
      <c r="A286" s="132"/>
      <c r="B286" s="133"/>
      <c r="C286" s="127"/>
      <c r="D286" s="127"/>
      <c r="E286" s="127"/>
      <c r="F286" s="130"/>
      <c r="G286" s="127"/>
      <c r="H286" s="127"/>
      <c r="I286" s="127"/>
      <c r="J286" s="130"/>
      <c r="K286" s="134" t="str">
        <f t="shared" si="8"/>
        <v/>
      </c>
      <c r="L286" s="135" t="str">
        <f t="shared" si="9"/>
        <v/>
      </c>
      <c r="M286" s="134" t="str">
        <f>IF(A286="","",IF(K286&gt;=Calendar!$AC$5,TEXT(A286,"yyyymmdd")&amp;"|"&amp;COUNTIFS($A$5:A286,A286,$K$5:K286,"&gt;="&amp;Calendar!$AC$5),""))</f>
        <v/>
      </c>
    </row>
    <row r="287" spans="1:13" ht="18" customHeight="1" x14ac:dyDescent="0.25">
      <c r="A287" s="132"/>
      <c r="B287" s="133"/>
      <c r="C287" s="127"/>
      <c r="D287" s="127"/>
      <c r="E287" s="127"/>
      <c r="F287" s="130"/>
      <c r="G287" s="127"/>
      <c r="H287" s="127"/>
      <c r="I287" s="127"/>
      <c r="J287" s="130"/>
      <c r="K287" s="134" t="str">
        <f t="shared" si="8"/>
        <v/>
      </c>
      <c r="L287" s="135" t="str">
        <f t="shared" si="9"/>
        <v/>
      </c>
      <c r="M287" s="134" t="str">
        <f>IF(A287="","",IF(K287&gt;=Calendar!$AC$5,TEXT(A287,"yyyymmdd")&amp;"|"&amp;COUNTIFS($A$5:A287,A287,$K$5:K287,"&gt;="&amp;Calendar!$AC$5),""))</f>
        <v/>
      </c>
    </row>
    <row r="288" spans="1:13" ht="18" customHeight="1" x14ac:dyDescent="0.25">
      <c r="A288" s="132"/>
      <c r="B288" s="133"/>
      <c r="C288" s="127"/>
      <c r="D288" s="127"/>
      <c r="E288" s="127"/>
      <c r="F288" s="130"/>
      <c r="G288" s="127"/>
      <c r="H288" s="127"/>
      <c r="I288" s="127"/>
      <c r="J288" s="130"/>
      <c r="K288" s="134" t="str">
        <f t="shared" si="8"/>
        <v/>
      </c>
      <c r="L288" s="135" t="str">
        <f t="shared" si="9"/>
        <v/>
      </c>
      <c r="M288" s="134" t="str">
        <f>IF(A288="","",IF(K288&gt;=Calendar!$AC$5,TEXT(A288,"yyyymmdd")&amp;"|"&amp;COUNTIFS($A$5:A288,A288,$K$5:K288,"&gt;="&amp;Calendar!$AC$5),""))</f>
        <v/>
      </c>
    </row>
    <row r="289" spans="1:13" ht="18" customHeight="1" x14ac:dyDescent="0.25">
      <c r="A289" s="132"/>
      <c r="B289" s="133"/>
      <c r="C289" s="127"/>
      <c r="D289" s="127"/>
      <c r="E289" s="127"/>
      <c r="F289" s="130"/>
      <c r="G289" s="127"/>
      <c r="H289" s="127"/>
      <c r="I289" s="127"/>
      <c r="J289" s="130"/>
      <c r="K289" s="134" t="str">
        <f t="shared" si="8"/>
        <v/>
      </c>
      <c r="L289" s="135" t="str">
        <f t="shared" si="9"/>
        <v/>
      </c>
      <c r="M289" s="134" t="str">
        <f>IF(A289="","",IF(K289&gt;=Calendar!$AC$5,TEXT(A289,"yyyymmdd")&amp;"|"&amp;COUNTIFS($A$5:A289,A289,$K$5:K289,"&gt;="&amp;Calendar!$AC$5),""))</f>
        <v/>
      </c>
    </row>
    <row r="290" spans="1:13" ht="18" customHeight="1" x14ac:dyDescent="0.25">
      <c r="A290" s="132"/>
      <c r="B290" s="133"/>
      <c r="C290" s="127"/>
      <c r="D290" s="127"/>
      <c r="E290" s="127"/>
      <c r="F290" s="130"/>
      <c r="G290" s="127"/>
      <c r="H290" s="127"/>
      <c r="I290" s="127"/>
      <c r="J290" s="130"/>
      <c r="K290" s="134" t="str">
        <f t="shared" si="8"/>
        <v/>
      </c>
      <c r="L290" s="135" t="str">
        <f t="shared" si="9"/>
        <v/>
      </c>
      <c r="M290" s="134" t="str">
        <f>IF(A290="","",IF(K290&gt;=Calendar!$AC$5,TEXT(A290,"yyyymmdd")&amp;"|"&amp;COUNTIFS($A$5:A290,A290,$K$5:K290,"&gt;="&amp;Calendar!$AC$5),""))</f>
        <v/>
      </c>
    </row>
    <row r="291" spans="1:13" ht="18" customHeight="1" x14ac:dyDescent="0.25">
      <c r="A291" s="132"/>
      <c r="B291" s="133"/>
      <c r="C291" s="127"/>
      <c r="D291" s="127"/>
      <c r="E291" s="127"/>
      <c r="F291" s="130"/>
      <c r="G291" s="127"/>
      <c r="H291" s="127"/>
      <c r="I291" s="127"/>
      <c r="J291" s="130"/>
      <c r="K291" s="134" t="str">
        <f t="shared" si="8"/>
        <v/>
      </c>
      <c r="L291" s="135" t="str">
        <f t="shared" si="9"/>
        <v/>
      </c>
      <c r="M291" s="134" t="str">
        <f>IF(A291="","",IF(K291&gt;=Calendar!$AC$5,TEXT(A291,"yyyymmdd")&amp;"|"&amp;COUNTIFS($A$5:A291,A291,$K$5:K291,"&gt;="&amp;Calendar!$AC$5),""))</f>
        <v/>
      </c>
    </row>
    <row r="292" spans="1:13" ht="18" customHeight="1" x14ac:dyDescent="0.25">
      <c r="A292" s="132"/>
      <c r="B292" s="133"/>
      <c r="C292" s="127"/>
      <c r="D292" s="127"/>
      <c r="E292" s="127"/>
      <c r="F292" s="130"/>
      <c r="G292" s="127"/>
      <c r="H292" s="127"/>
      <c r="I292" s="127"/>
      <c r="J292" s="130"/>
      <c r="K292" s="134" t="str">
        <f t="shared" si="8"/>
        <v/>
      </c>
      <c r="L292" s="135" t="str">
        <f t="shared" si="9"/>
        <v/>
      </c>
      <c r="M292" s="134" t="str">
        <f>IF(A292="","",IF(K292&gt;=Calendar!$AC$5,TEXT(A292,"yyyymmdd")&amp;"|"&amp;COUNTIFS($A$5:A292,A292,$K$5:K292,"&gt;="&amp;Calendar!$AC$5),""))</f>
        <v/>
      </c>
    </row>
    <row r="293" spans="1:13" ht="18" customHeight="1" x14ac:dyDescent="0.25">
      <c r="A293" s="132"/>
      <c r="B293" s="133"/>
      <c r="C293" s="127"/>
      <c r="D293" s="127"/>
      <c r="E293" s="127"/>
      <c r="F293" s="130"/>
      <c r="G293" s="127"/>
      <c r="H293" s="127"/>
      <c r="I293" s="127"/>
      <c r="J293" s="130"/>
      <c r="K293" s="134" t="str">
        <f t="shared" si="8"/>
        <v/>
      </c>
      <c r="L293" s="135" t="str">
        <f t="shared" si="9"/>
        <v/>
      </c>
      <c r="M293" s="134" t="str">
        <f>IF(A293="","",IF(K293&gt;=Calendar!$AC$5,TEXT(A293,"yyyymmdd")&amp;"|"&amp;COUNTIFS($A$5:A293,A293,$K$5:K293,"&gt;="&amp;Calendar!$AC$5),""))</f>
        <v/>
      </c>
    </row>
    <row r="294" spans="1:13" ht="18" customHeight="1" x14ac:dyDescent="0.25">
      <c r="A294" s="132"/>
      <c r="B294" s="133"/>
      <c r="C294" s="127"/>
      <c r="D294" s="127"/>
      <c r="E294" s="127"/>
      <c r="F294" s="130"/>
      <c r="G294" s="127"/>
      <c r="H294" s="127"/>
      <c r="I294" s="127"/>
      <c r="J294" s="130"/>
      <c r="K294" s="134" t="str">
        <f t="shared" si="8"/>
        <v/>
      </c>
      <c r="L294" s="135" t="str">
        <f t="shared" si="9"/>
        <v/>
      </c>
      <c r="M294" s="134" t="str">
        <f>IF(A294="","",IF(K294&gt;=Calendar!$AC$5,TEXT(A294,"yyyymmdd")&amp;"|"&amp;COUNTIFS($A$5:A294,A294,$K$5:K294,"&gt;="&amp;Calendar!$AC$5),""))</f>
        <v/>
      </c>
    </row>
    <row r="295" spans="1:13" ht="18" customHeight="1" x14ac:dyDescent="0.25">
      <c r="A295" s="132"/>
      <c r="B295" s="133"/>
      <c r="C295" s="127"/>
      <c r="D295" s="127"/>
      <c r="E295" s="127"/>
      <c r="F295" s="130"/>
      <c r="G295" s="127"/>
      <c r="H295" s="127"/>
      <c r="I295" s="127"/>
      <c r="J295" s="130"/>
      <c r="K295" s="134" t="str">
        <f t="shared" si="8"/>
        <v/>
      </c>
      <c r="L295" s="135" t="str">
        <f t="shared" si="9"/>
        <v/>
      </c>
      <c r="M295" s="134" t="str">
        <f>IF(A295="","",IF(K295&gt;=Calendar!$AC$5,TEXT(A295,"yyyymmdd")&amp;"|"&amp;COUNTIFS($A$5:A295,A295,$K$5:K295,"&gt;="&amp;Calendar!$AC$5),""))</f>
        <v/>
      </c>
    </row>
    <row r="296" spans="1:13" ht="18" customHeight="1" x14ac:dyDescent="0.25">
      <c r="A296" s="132"/>
      <c r="B296" s="133"/>
      <c r="C296" s="127"/>
      <c r="D296" s="127"/>
      <c r="E296" s="127"/>
      <c r="F296" s="130"/>
      <c r="G296" s="127"/>
      <c r="H296" s="127"/>
      <c r="I296" s="127"/>
      <c r="J296" s="130"/>
      <c r="K296" s="134" t="str">
        <f t="shared" si="8"/>
        <v/>
      </c>
      <c r="L296" s="135" t="str">
        <f t="shared" si="9"/>
        <v/>
      </c>
      <c r="M296" s="134" t="str">
        <f>IF(A296="","",IF(K296&gt;=Calendar!$AC$5,TEXT(A296,"yyyymmdd")&amp;"|"&amp;COUNTIFS($A$5:A296,A296,$K$5:K296,"&gt;="&amp;Calendar!$AC$5),""))</f>
        <v/>
      </c>
    </row>
    <row r="297" spans="1:13" ht="18" customHeight="1" x14ac:dyDescent="0.25">
      <c r="A297" s="132"/>
      <c r="B297" s="133"/>
      <c r="C297" s="127"/>
      <c r="D297" s="127"/>
      <c r="E297" s="127"/>
      <c r="F297" s="130"/>
      <c r="G297" s="127"/>
      <c r="H297" s="127"/>
      <c r="I297" s="127"/>
      <c r="J297" s="130"/>
      <c r="K297" s="134" t="str">
        <f t="shared" si="8"/>
        <v/>
      </c>
      <c r="L297" s="135" t="str">
        <f t="shared" si="9"/>
        <v/>
      </c>
      <c r="M297" s="134" t="str">
        <f>IF(A297="","",IF(K297&gt;=Calendar!$AC$5,TEXT(A297,"yyyymmdd")&amp;"|"&amp;COUNTIFS($A$5:A297,A297,$K$5:K297,"&gt;="&amp;Calendar!$AC$5),""))</f>
        <v/>
      </c>
    </row>
    <row r="298" spans="1:13" ht="18" customHeight="1" x14ac:dyDescent="0.25">
      <c r="A298" s="132"/>
      <c r="B298" s="133"/>
      <c r="C298" s="127"/>
      <c r="D298" s="127"/>
      <c r="E298" s="127"/>
      <c r="F298" s="130"/>
      <c r="G298" s="127"/>
      <c r="H298" s="127"/>
      <c r="I298" s="127"/>
      <c r="J298" s="130"/>
      <c r="K298" s="134" t="str">
        <f t="shared" si="8"/>
        <v/>
      </c>
      <c r="L298" s="135" t="str">
        <f t="shared" si="9"/>
        <v/>
      </c>
      <c r="M298" s="134" t="str">
        <f>IF(A298="","",IF(K298&gt;=Calendar!$AC$5,TEXT(A298,"yyyymmdd")&amp;"|"&amp;COUNTIFS($A$5:A298,A298,$K$5:K298,"&gt;="&amp;Calendar!$AC$5),""))</f>
        <v/>
      </c>
    </row>
    <row r="299" spans="1:13" ht="18" customHeight="1" x14ac:dyDescent="0.25">
      <c r="A299" s="132"/>
      <c r="B299" s="133"/>
      <c r="C299" s="127"/>
      <c r="D299" s="127"/>
      <c r="E299" s="127"/>
      <c r="F299" s="130"/>
      <c r="G299" s="127"/>
      <c r="H299" s="127"/>
      <c r="I299" s="127"/>
      <c r="J299" s="130"/>
      <c r="K299" s="134" t="str">
        <f t="shared" si="8"/>
        <v/>
      </c>
      <c r="L299" s="135" t="str">
        <f t="shared" si="9"/>
        <v/>
      </c>
      <c r="M299" s="134" t="str">
        <f>IF(A299="","",IF(K299&gt;=Calendar!$AC$5,TEXT(A299,"yyyymmdd")&amp;"|"&amp;COUNTIFS($A$5:A299,A299,$K$5:K299,"&gt;="&amp;Calendar!$AC$5),""))</f>
        <v/>
      </c>
    </row>
    <row r="300" spans="1:13" ht="18" customHeight="1" x14ac:dyDescent="0.25">
      <c r="A300" s="132"/>
      <c r="B300" s="133"/>
      <c r="C300" s="127"/>
      <c r="D300" s="127"/>
      <c r="E300" s="127"/>
      <c r="F300" s="130"/>
      <c r="G300" s="127"/>
      <c r="H300" s="127"/>
      <c r="I300" s="127"/>
      <c r="J300" s="130"/>
      <c r="K300" s="134" t="str">
        <f t="shared" si="8"/>
        <v/>
      </c>
      <c r="L300" s="135" t="str">
        <f t="shared" si="9"/>
        <v/>
      </c>
      <c r="M300" s="134" t="str">
        <f>IF(A300="","",IF(K300&gt;=Calendar!$AC$5,TEXT(A300,"yyyymmdd")&amp;"|"&amp;COUNTIFS($A$5:A300,A300,$K$5:K300,"&gt;="&amp;Calendar!$AC$5),""))</f>
        <v/>
      </c>
    </row>
    <row r="301" spans="1:13" ht="18" customHeight="1" x14ac:dyDescent="0.25">
      <c r="A301" s="132"/>
      <c r="B301" s="133"/>
      <c r="C301" s="127"/>
      <c r="D301" s="127"/>
      <c r="E301" s="127"/>
      <c r="F301" s="130"/>
      <c r="G301" s="127"/>
      <c r="H301" s="127"/>
      <c r="I301" s="127"/>
      <c r="J301" s="130"/>
      <c r="K301" s="134" t="str">
        <f t="shared" si="8"/>
        <v/>
      </c>
      <c r="L301" s="135" t="str">
        <f t="shared" si="9"/>
        <v/>
      </c>
      <c r="M301" s="134" t="str">
        <f>IF(A301="","",IF(K301&gt;=Calendar!$AC$5,TEXT(A301,"yyyymmdd")&amp;"|"&amp;COUNTIFS($A$5:A301,A301,$K$5:K301,"&gt;="&amp;Calendar!$AC$5),""))</f>
        <v/>
      </c>
    </row>
    <row r="302" spans="1:13" ht="18" customHeight="1" x14ac:dyDescent="0.25">
      <c r="A302" s="132"/>
      <c r="B302" s="133"/>
      <c r="C302" s="127"/>
      <c r="D302" s="127"/>
      <c r="E302" s="127"/>
      <c r="F302" s="130"/>
      <c r="G302" s="127"/>
      <c r="H302" s="127"/>
      <c r="I302" s="127"/>
      <c r="J302" s="130"/>
      <c r="K302" s="134" t="str">
        <f t="shared" si="8"/>
        <v/>
      </c>
      <c r="L302" s="135" t="str">
        <f t="shared" si="9"/>
        <v/>
      </c>
      <c r="M302" s="134" t="str">
        <f>IF(A302="","",IF(K302&gt;=Calendar!$AC$5,TEXT(A302,"yyyymmdd")&amp;"|"&amp;COUNTIFS($A$5:A302,A302,$K$5:K302,"&gt;="&amp;Calendar!$AC$5),""))</f>
        <v/>
      </c>
    </row>
    <row r="303" spans="1:13" ht="18" customHeight="1" x14ac:dyDescent="0.25">
      <c r="A303" s="132"/>
      <c r="B303" s="133"/>
      <c r="C303" s="127"/>
      <c r="D303" s="127"/>
      <c r="E303" s="127"/>
      <c r="F303" s="130"/>
      <c r="G303" s="127"/>
      <c r="H303" s="127"/>
      <c r="I303" s="127"/>
      <c r="J303" s="130"/>
      <c r="K303" s="134" t="str">
        <f t="shared" si="8"/>
        <v/>
      </c>
      <c r="L303" s="135" t="str">
        <f t="shared" si="9"/>
        <v/>
      </c>
      <c r="M303" s="134" t="str">
        <f>IF(A303="","",IF(K303&gt;=Calendar!$AC$5,TEXT(A303,"yyyymmdd")&amp;"|"&amp;COUNTIFS($A$5:A303,A303,$K$5:K303,"&gt;="&amp;Calendar!$AC$5),""))</f>
        <v/>
      </c>
    </row>
    <row r="304" spans="1:13" ht="18" customHeight="1" x14ac:dyDescent="0.25">
      <c r="A304" s="132"/>
      <c r="B304" s="133"/>
      <c r="C304" s="127"/>
      <c r="D304" s="127"/>
      <c r="E304" s="127"/>
      <c r="F304" s="130"/>
      <c r="G304" s="127"/>
      <c r="H304" s="127"/>
      <c r="I304" s="127"/>
      <c r="J304" s="130"/>
      <c r="K304" s="134" t="str">
        <f t="shared" si="8"/>
        <v/>
      </c>
      <c r="L304" s="135" t="str">
        <f t="shared" si="9"/>
        <v/>
      </c>
      <c r="M304" s="134" t="str">
        <f>IF(A304="","",IF(K304&gt;=Calendar!$AC$5,TEXT(A304,"yyyymmdd")&amp;"|"&amp;COUNTIFS($A$5:A304,A304,$K$5:K304,"&gt;="&amp;Calendar!$AC$5),""))</f>
        <v/>
      </c>
    </row>
  </sheetData>
  <mergeCells count="1">
    <mergeCell ref="A1:K1"/>
  </mergeCells>
  <conditionalFormatting sqref="A5:J304">
    <cfRule type="expression" dxfId="88" priority="4" stopIfTrue="1">
      <formula>AND($A5&lt;&gt;"",$A5=TODAY())</formula>
    </cfRule>
    <cfRule type="expression" dxfId="87" priority="5" stopIfTrue="1">
      <formula>AND($A5&lt;&gt;"",$A5&lt;TODAY())</formula>
    </cfRule>
  </conditionalFormatting>
  <conditionalFormatting sqref="C5:C304">
    <cfRule type="expression" dxfId="86" priority="6" stopIfTrue="1">
      <formula>$C5="USD"</formula>
    </cfRule>
    <cfRule type="expression" dxfId="85" priority="7" stopIfTrue="1">
      <formula>$C5="EUR"</formula>
    </cfRule>
    <cfRule type="expression" dxfId="84" priority="8" stopIfTrue="1">
      <formula>$C5="GBP"</formula>
    </cfRule>
    <cfRule type="expression" dxfId="83" priority="9" stopIfTrue="1">
      <formula>$C5="JPY"</formula>
    </cfRule>
    <cfRule type="expression" dxfId="82" priority="10" stopIfTrue="1">
      <formula>$C5="AUD"</formula>
    </cfRule>
    <cfRule type="expression" dxfId="81" priority="11" stopIfTrue="1">
      <formula>$C5="NZD"</formula>
    </cfRule>
    <cfRule type="expression" dxfId="80" priority="12" stopIfTrue="1">
      <formula>$C5="CAD"</formula>
    </cfRule>
    <cfRule type="expression" dxfId="79" priority="13" stopIfTrue="1">
      <formula>$C5="CHF"</formula>
    </cfRule>
    <cfRule type="expression" dxfId="78" priority="14" stopIfTrue="1">
      <formula>$C5="CNY"</formula>
    </cfRule>
    <cfRule type="expression" dxfId="77" priority="15" stopIfTrue="1">
      <formula>$C5="XAU"</formula>
    </cfRule>
  </conditionalFormatting>
  <conditionalFormatting sqref="D5:D304">
    <cfRule type="expression" dxfId="76" priority="1" stopIfTrue="1">
      <formula>$D5="High"</formula>
    </cfRule>
    <cfRule type="expression" dxfId="75" priority="2" stopIfTrue="1">
      <formula>$D5="Medium"</formula>
    </cfRule>
    <cfRule type="expression" dxfId="74" priority="3" stopIfTrue="1">
      <formula>$D5="Holiday"</formula>
    </cfRule>
  </conditionalFormatting>
  <conditionalFormatting sqref="E5:E304">
    <cfRule type="expression" dxfId="73" priority="16" stopIfTrue="1">
      <formula>$E5="Central bank"</formula>
    </cfRule>
    <cfRule type="expression" dxfId="72" priority="17" stopIfTrue="1">
      <formula>$E5="CB speech"</formula>
    </cfRule>
    <cfRule type="expression" dxfId="71" priority="18" stopIfTrue="1">
      <formula>$E5="Government"</formula>
    </cfRule>
    <cfRule type="expression" dxfId="70" priority="19" stopIfTrue="1">
      <formula>$E5="Inflation"</formula>
    </cfRule>
    <cfRule type="expression" dxfId="69" priority="20" stopIfTrue="1">
      <formula>$E5="Jobs"</formula>
    </cfRule>
    <cfRule type="expression" dxfId="68" priority="21" stopIfTrue="1">
      <formula>$E5="Growth &amp; business"</formula>
    </cfRule>
    <cfRule type="expression" dxfId="67" priority="22" stopIfTrue="1">
      <formula>$E5="Holiday"</formula>
    </cfRule>
  </conditionalFormatting>
  <dataValidations count="3">
    <dataValidation type="list" allowBlank="1" sqref="D5:D304" xr:uid="{00000000-0002-0000-0500-000000000000}">
      <formula1>"High,Medium,Low,Holiday"</formula1>
    </dataValidation>
    <dataValidation type="list" allowBlank="1" sqref="E5:E304" xr:uid="{00000000-0002-0000-0500-000001000000}">
      <formula1>"Central bank,CB speech,Government,Inflation,Jobs,Growth &amp; business,Holiday"</formula1>
    </dataValidation>
    <dataValidation type="list" allowBlank="1" sqref="C5:C304" xr:uid="{00000000-0002-0000-0500-000002000000}">
      <formula1>"USD,EUR,GBP,JPY,AUD,NZD,CAD,CHF,CNY,ALL"</formula1>
    </dataValidation>
  </dataValidations>
  <hyperlinks>
    <hyperlink ref="M1" location="'Guide'!A1" display="← Guide" xr:uid="{00000000-0004-0000-0500-000000000000}"/>
  </hyperlink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S14"/>
  <sheetViews>
    <sheetView showGridLines="0" zoomScale="85" zoomScaleNormal="85" workbookViewId="0">
      <pane xSplit="1" ySplit="4" topLeftCell="B5" activePane="bottomRight" state="frozen"/>
      <selection pane="topRight" activeCell="B1" sqref="B1"/>
      <selection pane="bottomLeft" activeCell="A5" sqref="A5"/>
      <selection pane="bottomRight" activeCell="C7" sqref="C7"/>
    </sheetView>
  </sheetViews>
  <sheetFormatPr defaultColWidth="8.7109375" defaultRowHeight="15" x14ac:dyDescent="0.25"/>
  <cols>
    <col min="1" max="1" width="10" customWidth="1"/>
    <col min="2" max="2" width="21.5703125" customWidth="1"/>
    <col min="3" max="3" width="28.7109375" customWidth="1"/>
    <col min="4" max="4" width="27.42578125" customWidth="1"/>
    <col min="5" max="5" width="21.28515625" customWidth="1"/>
    <col min="6" max="6" width="23.42578125" customWidth="1"/>
    <col min="7" max="7" width="23.7109375" customWidth="1"/>
    <col min="8" max="8" width="24.85546875" customWidth="1"/>
    <col min="9" max="9" width="29.7109375" customWidth="1"/>
    <col min="10" max="10" width="25.85546875" customWidth="1"/>
    <col min="11" max="11" width="22.28515625" customWidth="1"/>
    <col min="12" max="12" width="24.140625" customWidth="1"/>
    <col min="13" max="13" width="20.42578125" customWidth="1"/>
    <col min="14" max="14" width="16.7109375" customWidth="1"/>
    <col min="15" max="15" width="19.28515625" customWidth="1"/>
    <col min="16" max="16" width="24.140625" customWidth="1"/>
    <col min="17" max="17" width="20.42578125" customWidth="1"/>
    <col min="18" max="18" width="32" customWidth="1"/>
    <col min="19" max="19" width="52.5703125" customWidth="1"/>
  </cols>
  <sheetData>
    <row r="1" spans="1:19" ht="33.950000000000003" customHeight="1" x14ac:dyDescent="0.25">
      <c r="A1" s="314" t="s">
        <v>581</v>
      </c>
      <c r="B1" s="273"/>
      <c r="C1" s="273"/>
      <c r="D1" s="273"/>
      <c r="E1" s="273"/>
      <c r="F1" s="273"/>
      <c r="G1" s="273"/>
      <c r="H1" s="273"/>
      <c r="I1" s="273"/>
      <c r="J1" s="273"/>
      <c r="K1" s="273"/>
      <c r="L1" s="273"/>
      <c r="M1" s="273"/>
      <c r="N1" s="273"/>
      <c r="O1" s="273"/>
      <c r="P1" s="273"/>
      <c r="Q1" s="273"/>
      <c r="R1" s="273"/>
      <c r="S1" s="45" t="s">
        <v>1</v>
      </c>
    </row>
    <row r="2" spans="1:19" ht="20.100000000000001" customHeight="1" x14ac:dyDescent="0.25">
      <c r="A2" s="313" t="s">
        <v>582</v>
      </c>
      <c r="B2" s="273"/>
      <c r="C2" s="273"/>
      <c r="D2" s="273"/>
      <c r="E2" s="273"/>
      <c r="F2" s="273"/>
      <c r="G2" s="273"/>
      <c r="H2" s="7"/>
      <c r="I2" s="7"/>
      <c r="J2" s="7"/>
      <c r="K2" s="7"/>
      <c r="L2" s="7"/>
      <c r="M2" s="7"/>
      <c r="N2" s="7"/>
      <c r="O2" s="7"/>
      <c r="P2" s="7"/>
      <c r="Q2" s="7"/>
      <c r="R2" s="7"/>
      <c r="S2" s="7"/>
    </row>
    <row r="3" spans="1:19" ht="18" customHeight="1" x14ac:dyDescent="0.25">
      <c r="B3" s="7"/>
      <c r="C3" s="7"/>
      <c r="D3" s="7"/>
      <c r="E3" s="7"/>
      <c r="F3" s="7"/>
      <c r="G3" s="7"/>
      <c r="H3" s="7"/>
      <c r="I3" s="7"/>
      <c r="J3" s="7"/>
      <c r="K3" s="7"/>
      <c r="L3" s="7"/>
      <c r="M3" s="7"/>
      <c r="N3" s="7"/>
      <c r="O3" s="7"/>
      <c r="P3" s="7"/>
      <c r="Q3" s="7"/>
      <c r="R3" s="7"/>
      <c r="S3" s="7"/>
    </row>
    <row r="4" spans="1:19" ht="44.1" customHeight="1" x14ac:dyDescent="0.25">
      <c r="A4" s="46" t="s">
        <v>583</v>
      </c>
      <c r="B4" s="46" t="s">
        <v>520</v>
      </c>
      <c r="C4" s="46" t="s">
        <v>377</v>
      </c>
      <c r="D4" s="46" t="s">
        <v>384</v>
      </c>
      <c r="E4" s="46" t="s">
        <v>380</v>
      </c>
      <c r="F4" s="46" t="s">
        <v>584</v>
      </c>
      <c r="G4" s="46" t="s">
        <v>585</v>
      </c>
      <c r="H4" s="46" t="s">
        <v>385</v>
      </c>
      <c r="I4" s="46" t="s">
        <v>586</v>
      </c>
      <c r="J4" s="46" t="s">
        <v>394</v>
      </c>
      <c r="K4" s="46" t="s">
        <v>397</v>
      </c>
      <c r="L4" s="46" t="s">
        <v>587</v>
      </c>
      <c r="M4" s="46" t="s">
        <v>588</v>
      </c>
      <c r="N4" s="46" t="s">
        <v>589</v>
      </c>
      <c r="O4" s="46" t="s">
        <v>590</v>
      </c>
      <c r="P4" s="46" t="s">
        <v>591</v>
      </c>
      <c r="Q4" s="46" t="s">
        <v>592</v>
      </c>
      <c r="R4" s="46" t="s">
        <v>593</v>
      </c>
      <c r="S4" s="46" t="s">
        <v>594</v>
      </c>
    </row>
    <row r="5" spans="1:19" ht="50.1" customHeight="1" x14ac:dyDescent="0.25">
      <c r="A5" s="171" t="s">
        <v>276</v>
      </c>
      <c r="B5" s="47" t="s">
        <v>595</v>
      </c>
      <c r="C5" s="76">
        <v>4</v>
      </c>
      <c r="D5" s="129">
        <f ca="1">IFERROR(1/(1/_xlfn.MINIFS(Events!$A$5:$A$304,Events!$C$5:$C$304,$A5,Events!$E$5:$E$304,"Central bank",Events!$A$5:$A$304,"&gt;="&amp;TODAY())),"")</f>
        <v>46323</v>
      </c>
      <c r="E5" s="76">
        <v>2.57</v>
      </c>
      <c r="F5" s="76">
        <v>2.57</v>
      </c>
      <c r="G5" s="76">
        <v>2</v>
      </c>
      <c r="H5" s="76">
        <v>4.2</v>
      </c>
      <c r="I5" s="76">
        <v>4.2</v>
      </c>
      <c r="J5" s="77">
        <v>58.4</v>
      </c>
      <c r="K5" s="76">
        <v>4.75</v>
      </c>
      <c r="L5" s="76">
        <v>4.6500000000000004</v>
      </c>
      <c r="M5" s="50">
        <f>IF(COUNT(E5,F5,G5)&lt;3,"",IF(AND(E5&gt;G5,E5&gt;=F5),1,IF(AND(E5&lt;F5,E5&lt;=G5+Guide!$B$20),-1,0)))</f>
        <v>1</v>
      </c>
      <c r="N5" s="50">
        <f>IF(COUNT(H5,I5)&lt;2,"",IF(H5-I5&lt;=-Guide!$B$21,1,IF(H5-I5&gt;=Guide!$B$21,-1,0)))</f>
        <v>0</v>
      </c>
      <c r="O5" s="50">
        <f>IF(J5="","",IF(J5&gt;=Guide!$B$22,1,IF(J5&lt;=Guide!$B$23,-1,0)))</f>
        <v>1</v>
      </c>
      <c r="P5" s="50">
        <f>IF(COUNT(K5,L5)&lt;2,"",IF((K5-L5)*100&gt;=Guide!$B$24,1,IF((K5-L5)*100&lt;=-Guide!$B$24,-1,0)))</f>
        <v>0</v>
      </c>
      <c r="Q5" s="53">
        <f t="shared" ref="Q5:Q12" si="0">IF(COUNT(M5:P5)&lt;4,"",SUM(M5:P5))</f>
        <v>2</v>
      </c>
      <c r="R5" s="53" t="str">
        <f>IF(Q5="","ENTER DATA",IF(Q5&gt;=Guide!$B$25,"HAWKISH",IF(Q5&lt;=-Guide!$B$25,"DOVISH","NEUTRAL")))</f>
        <v>HAWKISH</v>
      </c>
      <c r="S5" s="56" t="s">
        <v>596</v>
      </c>
    </row>
    <row r="6" spans="1:19" ht="50.1" customHeight="1" x14ac:dyDescent="0.25">
      <c r="A6" s="172" t="s">
        <v>283</v>
      </c>
      <c r="B6" s="47" t="s">
        <v>597</v>
      </c>
      <c r="C6" s="76">
        <v>2.5</v>
      </c>
      <c r="D6" s="129">
        <f ca="1">IFERROR(1/(1/_xlfn.MINIFS(Events!$A$5:$A$304,Events!$C$5:$C$304,$A6,Events!$E$5:$E$304,"Central bank",Events!$A$5:$A$304,"&gt;="&amp;TODAY())),"")</f>
        <v>46324</v>
      </c>
      <c r="E6" s="76">
        <v>2.5</v>
      </c>
      <c r="F6" s="76">
        <v>2.4</v>
      </c>
      <c r="G6" s="76">
        <v>2</v>
      </c>
      <c r="H6" s="76">
        <v>6.4</v>
      </c>
      <c r="I6" s="76">
        <v>6.4</v>
      </c>
      <c r="J6" s="77">
        <v>53.1</v>
      </c>
      <c r="K6" s="76">
        <v>3.05</v>
      </c>
      <c r="L6" s="76">
        <v>3.26</v>
      </c>
      <c r="M6" s="50">
        <f>IF(COUNT(E6,F6,G6)&lt;3,"",IF(AND(E6&gt;G6,E6&gt;=F6),1,IF(AND(E6&lt;F6,E6&lt;=G6+Guide!$B$20),-1,0)))</f>
        <v>1</v>
      </c>
      <c r="N6" s="50">
        <f>IF(COUNT(H6,I6)&lt;2,"",IF(H6-I6&lt;=-Guide!$B$21,1,IF(H6-I6&gt;=Guide!$B$21,-1,0)))</f>
        <v>0</v>
      </c>
      <c r="O6" s="50">
        <f>IF(J6="","",IF(J6&gt;=Guide!$B$22,1,IF(J6&lt;=Guide!$B$23,-1,0)))</f>
        <v>1</v>
      </c>
      <c r="P6" s="50">
        <f>IF(COUNT(K6,L6)&lt;2,"",IF((K6-L6)*100&gt;=Guide!$B$24,1,IF((K6-L6)*100&lt;=-Guide!$B$24,-1,0)))</f>
        <v>-1</v>
      </c>
      <c r="Q6" s="53">
        <f t="shared" si="0"/>
        <v>1</v>
      </c>
      <c r="R6" s="53" t="str">
        <f>IF(Q6="","ENTER DATA",IF(Q6&gt;=Guide!$B$25,"HAWKISH",IF(Q6&lt;=-Guide!$B$25,"DOVISH","NEUTRAL")))</f>
        <v>NEUTRAL</v>
      </c>
      <c r="S6" s="56" t="s">
        <v>598</v>
      </c>
    </row>
    <row r="7" spans="1:19" ht="50.1" customHeight="1" x14ac:dyDescent="0.25">
      <c r="A7" s="173" t="s">
        <v>289</v>
      </c>
      <c r="B7" s="47" t="s">
        <v>599</v>
      </c>
      <c r="C7" s="76">
        <v>3.75</v>
      </c>
      <c r="D7" s="129">
        <f ca="1">IFERROR(1/(1/_xlfn.MINIFS(Events!$A$5:$A$304,Events!$C$5:$C$304,$A7,Events!$E$5:$E$304,"Central bank",Events!$A$5:$A$304,"&gt;="&amp;TODAY())),"")</f>
        <v>46331</v>
      </c>
      <c r="E7" s="76">
        <v>2.6</v>
      </c>
      <c r="F7" s="76">
        <v>2.6</v>
      </c>
      <c r="G7" s="76">
        <v>2</v>
      </c>
      <c r="H7" s="76">
        <v>4.9000000000000004</v>
      </c>
      <c r="I7" s="76">
        <v>4.9000000000000004</v>
      </c>
      <c r="J7" s="77">
        <v>52</v>
      </c>
      <c r="K7" s="76">
        <v>4.8499999999999996</v>
      </c>
      <c r="L7" s="76">
        <v>4.92</v>
      </c>
      <c r="M7" s="50">
        <f>IF(COUNT(E7,F7,G7)&lt;3,"",IF(AND(E7&gt;G7,E7&gt;=F7),1,IF(AND(E7&lt;F7,E7&lt;=G7+Guide!$B$20),-1,0)))</f>
        <v>1</v>
      </c>
      <c r="N7" s="50">
        <f>IF(COUNT(H7,I7)&lt;2,"",IF(H7-I7&lt;=-Guide!$B$21,1,IF(H7-I7&gt;=Guide!$B$21,-1,0)))</f>
        <v>0</v>
      </c>
      <c r="O7" s="50">
        <f>IF(J7="","",IF(J7&gt;=Guide!$B$22,1,IF(J7&lt;=Guide!$B$23,-1,0)))</f>
        <v>1</v>
      </c>
      <c r="P7" s="50">
        <f>IF(COUNT(K7,L7)&lt;2,"",IF((K7-L7)*100&gt;=Guide!$B$24,1,IF((K7-L7)*100&lt;=-Guide!$B$24,-1,0)))</f>
        <v>0</v>
      </c>
      <c r="Q7" s="53">
        <f t="shared" si="0"/>
        <v>2</v>
      </c>
      <c r="R7" s="53" t="str">
        <f>IF(Q7="","ENTER DATA",IF(Q7&gt;=Guide!$B$25,"HAWKISH",IF(Q7&lt;=-Guide!$B$25,"DOVISH","NEUTRAL")))</f>
        <v>HAWKISH</v>
      </c>
      <c r="S7" s="56" t="s">
        <v>600</v>
      </c>
    </row>
    <row r="8" spans="1:19" ht="50.1" customHeight="1" x14ac:dyDescent="0.25">
      <c r="A8" s="174" t="s">
        <v>294</v>
      </c>
      <c r="B8" s="47" t="s">
        <v>601</v>
      </c>
      <c r="C8" s="76">
        <v>1.25</v>
      </c>
      <c r="D8" s="129">
        <f ca="1">IFERROR(1/(1/_xlfn.MINIFS(Events!$A$5:$A$304,Events!$C$5:$C$304,$A8,Events!$E$5:$E$304,"Central bank",Events!$A$5:$A$304,"&gt;="&amp;TODAY())),"")</f>
        <v>46325</v>
      </c>
      <c r="E8" s="76">
        <v>1.9</v>
      </c>
      <c r="F8" s="76">
        <v>1.8</v>
      </c>
      <c r="G8" s="76">
        <v>2</v>
      </c>
      <c r="H8" s="76">
        <v>2.5</v>
      </c>
      <c r="I8" s="76">
        <v>2.5</v>
      </c>
      <c r="J8" s="77">
        <v>52.3</v>
      </c>
      <c r="K8" s="76">
        <v>1.9</v>
      </c>
      <c r="L8" s="76">
        <v>1.84</v>
      </c>
      <c r="M8" s="50">
        <f>IF(COUNT(E8,F8,G8)&lt;3,"",IF(AND(E8&gt;G8,E8&gt;=F8),1,IF(AND(E8&lt;F8,E8&lt;=G8+Guide!$B$20),-1,0)))</f>
        <v>0</v>
      </c>
      <c r="N8" s="50">
        <f>IF(COUNT(H8,I8)&lt;2,"",IF(H8-I8&lt;=-Guide!$B$21,1,IF(H8-I8&gt;=Guide!$B$21,-1,0)))</f>
        <v>0</v>
      </c>
      <c r="O8" s="50">
        <f>IF(J8="","",IF(J8&gt;=Guide!$B$22,1,IF(J8&lt;=Guide!$B$23,-1,0)))</f>
        <v>1</v>
      </c>
      <c r="P8" s="50">
        <f>IF(COUNT(K8,L8)&lt;2,"",IF((K8-L8)*100&gt;=Guide!$B$24,1,IF((K8-L8)*100&lt;=-Guide!$B$24,-1,0)))</f>
        <v>0</v>
      </c>
      <c r="Q8" s="53">
        <f t="shared" si="0"/>
        <v>1</v>
      </c>
      <c r="R8" s="53" t="str">
        <f>IF(Q8="","ENTER DATA",IF(Q8&gt;=Guide!$B$25,"HAWKISH",IF(Q8&lt;=-Guide!$B$25,"DOVISH","NEUTRAL")))</f>
        <v>NEUTRAL</v>
      </c>
      <c r="S8" s="56" t="s">
        <v>602</v>
      </c>
    </row>
    <row r="9" spans="1:19" ht="36.75" customHeight="1" x14ac:dyDescent="0.25">
      <c r="A9" s="175" t="s">
        <v>300</v>
      </c>
      <c r="B9" s="47" t="s">
        <v>603</v>
      </c>
      <c r="C9" s="76"/>
      <c r="D9" s="129" t="str">
        <f ca="1">IFERROR(1/(1/_xlfn.MINIFS(Events!$A$5:$A$304,Events!$C$5:$C$304,$A9,Events!$E$5:$E$304,"Central bank",Events!$A$5:$A$304,"&gt;="&amp;TODAY())),"")</f>
        <v/>
      </c>
      <c r="E9" s="76"/>
      <c r="F9" s="76"/>
      <c r="G9" s="76">
        <v>2.5</v>
      </c>
      <c r="H9" s="76"/>
      <c r="I9" s="76"/>
      <c r="J9" s="77"/>
      <c r="K9" s="76"/>
      <c r="L9" s="76"/>
      <c r="M9" s="50" t="str">
        <f>IF(COUNT(E9,F9,G9)&lt;3,"",IF(AND(E9&gt;G9,E9&gt;=F9),1,IF(AND(E9&lt;F9,E9&lt;=G9+Guide!$B$20),-1,0)))</f>
        <v/>
      </c>
      <c r="N9" s="50" t="str">
        <f>IF(COUNT(H9,I9)&lt;2,"",IF(H9-I9&lt;=-Guide!$B$21,1,IF(H9-I9&gt;=Guide!$B$21,-1,0)))</f>
        <v/>
      </c>
      <c r="O9" s="50" t="str">
        <f>IF(J9="","",IF(J9&gt;=Guide!$B$22,1,IF(J9&lt;=Guide!$B$23,-1,0)))</f>
        <v/>
      </c>
      <c r="P9" s="50" t="str">
        <f>IF(COUNT(K9,L9)&lt;2,"",IF((K9-L9)*100&gt;=Guide!$B$24,1,IF((K9-L9)*100&lt;=-Guide!$B$24,-1,0)))</f>
        <v/>
      </c>
      <c r="Q9" s="53" t="str">
        <f t="shared" si="0"/>
        <v/>
      </c>
      <c r="R9" s="53" t="str">
        <f>IF(Q9="","ENTER DATA",IF(Q9&gt;=Guide!$B$25,"HAWKISH",IF(Q9&lt;=-Guide!$B$25,"DOVISH","NEUTRAL")))</f>
        <v>ENTER DATA</v>
      </c>
      <c r="S9" s="56"/>
    </row>
    <row r="10" spans="1:19" ht="39.75" customHeight="1" x14ac:dyDescent="0.25">
      <c r="A10" s="176" t="s">
        <v>305</v>
      </c>
      <c r="B10" s="47" t="s">
        <v>604</v>
      </c>
      <c r="C10" s="76"/>
      <c r="D10" s="129" t="str">
        <f ca="1">IFERROR(1/(1/_xlfn.MINIFS(Events!$A$5:$A$304,Events!$C$5:$C$304,$A10,Events!$E$5:$E$304,"Central bank",Events!$A$5:$A$304,"&gt;="&amp;TODAY())),"")</f>
        <v/>
      </c>
      <c r="E10" s="76"/>
      <c r="F10" s="76"/>
      <c r="G10" s="76">
        <v>2</v>
      </c>
      <c r="H10" s="76"/>
      <c r="I10" s="76"/>
      <c r="J10" s="77"/>
      <c r="K10" s="76"/>
      <c r="L10" s="76"/>
      <c r="M10" s="50" t="str">
        <f>IF(COUNT(E10,F10,G10)&lt;3,"",IF(AND(E10&gt;G10,E10&gt;=F10),1,IF(AND(E10&lt;F10,E10&lt;=G10+Guide!$B$20),-1,0)))</f>
        <v/>
      </c>
      <c r="N10" s="50" t="str">
        <f>IF(COUNT(H10,I10)&lt;2,"",IF(H10-I10&lt;=-Guide!$B$21,1,IF(H10-I10&gt;=Guide!$B$21,-1,0)))</f>
        <v/>
      </c>
      <c r="O10" s="50" t="str">
        <f>IF(J10="","",IF(J10&gt;=Guide!$B$22,1,IF(J10&lt;=Guide!$B$23,-1,0)))</f>
        <v/>
      </c>
      <c r="P10" s="50" t="str">
        <f>IF(COUNT(K10,L10)&lt;2,"",IF((K10-L10)*100&gt;=Guide!$B$24,1,IF((K10-L10)*100&lt;=-Guide!$B$24,-1,0)))</f>
        <v/>
      </c>
      <c r="Q10" s="53" t="str">
        <f t="shared" si="0"/>
        <v/>
      </c>
      <c r="R10" s="53" t="str">
        <f>IF(Q10="","ENTER DATA",IF(Q10&gt;=Guide!$B$25,"HAWKISH",IF(Q10&lt;=-Guide!$B$25,"DOVISH","NEUTRAL")))</f>
        <v>ENTER DATA</v>
      </c>
      <c r="S10" s="56"/>
    </row>
    <row r="11" spans="1:19" ht="34.5" customHeight="1" x14ac:dyDescent="0.25">
      <c r="A11" s="177" t="s">
        <v>310</v>
      </c>
      <c r="B11" s="47" t="s">
        <v>605</v>
      </c>
      <c r="C11" s="76"/>
      <c r="D11" s="129" t="str">
        <f ca="1">IFERROR(1/(1/_xlfn.MINIFS(Events!$A$5:$A$304,Events!$C$5:$C$304,$A11,Events!$E$5:$E$304,"Central bank",Events!$A$5:$A$304,"&gt;="&amp;TODAY())),"")</f>
        <v/>
      </c>
      <c r="E11" s="76"/>
      <c r="F11" s="76"/>
      <c r="G11" s="76">
        <v>2</v>
      </c>
      <c r="H11" s="76"/>
      <c r="I11" s="76"/>
      <c r="J11" s="77"/>
      <c r="K11" s="76"/>
      <c r="L11" s="76"/>
      <c r="M11" s="50" t="str">
        <f>IF(COUNT(E11,F11,G11)&lt;3,"",IF(AND(E11&gt;G11,E11&gt;=F11),1,IF(AND(E11&lt;F11,E11&lt;=G11+Guide!$B$20),-1,0)))</f>
        <v/>
      </c>
      <c r="N11" s="50" t="str">
        <f>IF(COUNT(H11,I11)&lt;2,"",IF(H11-I11&lt;=-Guide!$B$21,1,IF(H11-I11&gt;=Guide!$B$21,-1,0)))</f>
        <v/>
      </c>
      <c r="O11" s="50" t="str">
        <f>IF(J11="","",IF(J11&gt;=Guide!$B$22,1,IF(J11&lt;=Guide!$B$23,-1,0)))</f>
        <v/>
      </c>
      <c r="P11" s="50" t="str">
        <f>IF(COUNT(K11,L11)&lt;2,"",IF((K11-L11)*100&gt;=Guide!$B$24,1,IF((K11-L11)*100&lt;=-Guide!$B$24,-1,0)))</f>
        <v/>
      </c>
      <c r="Q11" s="53" t="str">
        <f t="shared" si="0"/>
        <v/>
      </c>
      <c r="R11" s="53" t="str">
        <f>IF(Q11="","ENTER DATA",IF(Q11&gt;=Guide!$B$25,"HAWKISH",IF(Q11&lt;=-Guide!$B$25,"DOVISH","NEUTRAL")))</f>
        <v>ENTER DATA</v>
      </c>
      <c r="S11" s="56"/>
    </row>
    <row r="12" spans="1:19" ht="36.75" customHeight="1" x14ac:dyDescent="0.25">
      <c r="A12" s="178" t="s">
        <v>315</v>
      </c>
      <c r="B12" s="47" t="s">
        <v>606</v>
      </c>
      <c r="C12" s="76"/>
      <c r="D12" s="129" t="str">
        <f ca="1">IFERROR(1/(1/_xlfn.MINIFS(Events!$A$5:$A$304,Events!$C$5:$C$304,$A12,Events!$E$5:$E$304,"Central bank",Events!$A$5:$A$304,"&gt;="&amp;TODAY())),"")</f>
        <v/>
      </c>
      <c r="E12" s="76"/>
      <c r="F12" s="76"/>
      <c r="G12" s="76">
        <v>1</v>
      </c>
      <c r="H12" s="76"/>
      <c r="I12" s="76"/>
      <c r="J12" s="77"/>
      <c r="K12" s="76"/>
      <c r="L12" s="76"/>
      <c r="M12" s="50" t="str">
        <f>IF(COUNT(E12,F12,G12)&lt;3,"",IF(AND(E12&gt;G12,E12&gt;=F12),1,IF(AND(E12&lt;F12,E12&lt;=G12+Guide!$B$20),-1,0)))</f>
        <v/>
      </c>
      <c r="N12" s="50" t="str">
        <f>IF(COUNT(H12,I12)&lt;2,"",IF(H12-I12&lt;=-Guide!$B$21,1,IF(H12-I12&gt;=Guide!$B$21,-1,0)))</f>
        <v/>
      </c>
      <c r="O12" s="50" t="str">
        <f>IF(J12="","",IF(J12&gt;=Guide!$B$22,1,IF(J12&lt;=Guide!$B$23,-1,0)))</f>
        <v/>
      </c>
      <c r="P12" s="50" t="str">
        <f>IF(COUNT(K12,L12)&lt;2,"",IF((K12-L12)*100&gt;=Guide!$B$24,1,IF((K12-L12)*100&lt;=-Guide!$B$24,-1,0)))</f>
        <v/>
      </c>
      <c r="Q12" s="53" t="str">
        <f t="shared" si="0"/>
        <v/>
      </c>
      <c r="R12" s="53" t="str">
        <f>IF(Q12="","ENTER DATA",IF(Q12&gt;=Guide!$B$25,"HAWKISH",IF(Q12&lt;=-Guide!$B$25,"DOVISH","NEUTRAL")))</f>
        <v>ENTER DATA</v>
      </c>
      <c r="S12" s="56"/>
    </row>
    <row r="13" spans="1:19" x14ac:dyDescent="0.25">
      <c r="A13" s="111"/>
      <c r="B13" s="111"/>
      <c r="C13" s="111"/>
      <c r="D13" s="111"/>
      <c r="E13" s="111"/>
      <c r="F13" s="111"/>
      <c r="G13" s="111"/>
      <c r="H13" s="111"/>
      <c r="I13" s="111"/>
      <c r="J13" s="111"/>
      <c r="K13" s="111"/>
      <c r="L13" s="111"/>
      <c r="M13" s="111"/>
      <c r="N13" s="111"/>
      <c r="O13" s="111"/>
      <c r="P13" s="111"/>
      <c r="Q13" s="111"/>
      <c r="R13" s="111"/>
      <c r="S13" s="111"/>
    </row>
    <row r="14" spans="1:19" ht="14.25" customHeight="1" x14ac:dyDescent="0.25">
      <c r="A14" s="112"/>
      <c r="B14" s="112"/>
      <c r="C14" s="112"/>
      <c r="D14" s="112"/>
      <c r="E14" s="112"/>
      <c r="F14" s="112"/>
      <c r="G14" s="112"/>
      <c r="H14" s="112"/>
      <c r="I14" s="112"/>
      <c r="J14" s="112"/>
      <c r="K14" s="112"/>
      <c r="L14" s="112"/>
      <c r="M14" s="112"/>
      <c r="N14" s="112"/>
      <c r="O14" s="112"/>
      <c r="P14" s="112"/>
      <c r="Q14" s="112"/>
      <c r="R14" s="112"/>
      <c r="S14" s="112"/>
    </row>
  </sheetData>
  <mergeCells count="2">
    <mergeCell ref="A2:G2"/>
    <mergeCell ref="A1:R1"/>
  </mergeCells>
  <conditionalFormatting sqref="M5:Q12">
    <cfRule type="cellIs" dxfId="66" priority="5" operator="greaterThan">
      <formula>0</formula>
    </cfRule>
    <cfRule type="cellIs" dxfId="65" priority="6" operator="lessThan">
      <formula>0</formula>
    </cfRule>
  </conditionalFormatting>
  <conditionalFormatting sqref="R5:R12">
    <cfRule type="expression" dxfId="64" priority="2">
      <formula>ISNUMBER(SEARCH("HAWKISH",R5))</formula>
    </cfRule>
    <cfRule type="expression" dxfId="63" priority="3">
      <formula>ISNUMBER(SEARCH("DOVISH",R5))</formula>
    </cfRule>
    <cfRule type="expression" dxfId="62" priority="4">
      <formula>ISNUMBER(SEARCH("NEUTRAL",R5))</formula>
    </cfRule>
    <cfRule type="expression" dxfId="61" priority="7" stopIfTrue="1">
      <formula>ISNUMBER(SEARCH("ENTER DATA",R5))</formula>
    </cfRule>
  </conditionalFormatting>
  <hyperlinks>
    <hyperlink ref="S1" location="'Guide'!A1" display="← Guide" xr:uid="{00000000-0004-0000-0600-000000000000}"/>
  </hyperlinks>
  <pageMargins left="0.75" right="0.75" top="1" bottom="1" header="0.511811023622047" footer="0.511811023622047"/>
  <pageSetup paperSize="9" fitToHeight="0"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pageSetUpPr fitToPage="1"/>
  </sheetPr>
  <dimension ref="A1:F18"/>
  <sheetViews>
    <sheetView showGridLines="0" zoomScaleNormal="100" workbookViewId="0">
      <pane ySplit="2" topLeftCell="A4" activePane="bottomLeft" state="frozen"/>
      <selection pane="bottomLeft" activeCell="A14" sqref="A14"/>
    </sheetView>
  </sheetViews>
  <sheetFormatPr defaultColWidth="8.7109375" defaultRowHeight="15" x14ac:dyDescent="0.25"/>
  <cols>
    <col min="1" max="1" width="44" customWidth="1"/>
    <col min="2" max="4" width="13" customWidth="1"/>
    <col min="5" max="5" width="11" customWidth="1"/>
    <col min="6" max="6" width="80.85546875" customWidth="1"/>
  </cols>
  <sheetData>
    <row r="1" spans="1:6" ht="33.950000000000003" customHeight="1" x14ac:dyDescent="0.25">
      <c r="A1" s="2" t="s">
        <v>607</v>
      </c>
      <c r="B1" s="3"/>
      <c r="C1" s="3"/>
      <c r="D1" s="3"/>
      <c r="E1" s="3"/>
      <c r="F1" s="45" t="s">
        <v>1</v>
      </c>
    </row>
    <row r="2" spans="1:6" ht="20.100000000000001" customHeight="1" x14ac:dyDescent="0.25">
      <c r="A2" s="78" t="s">
        <v>608</v>
      </c>
    </row>
    <row r="3" spans="1:6" ht="13.5" hidden="1" customHeight="1" x14ac:dyDescent="0.25">
      <c r="A3" s="7"/>
      <c r="B3" s="7"/>
      <c r="C3" s="7"/>
      <c r="D3" s="7"/>
      <c r="E3" s="7"/>
      <c r="F3" s="7"/>
    </row>
    <row r="4" spans="1:6" ht="20.25" customHeight="1" thickBot="1" x14ac:dyDescent="0.3">
      <c r="A4" s="268" t="s">
        <v>609</v>
      </c>
      <c r="B4" s="269"/>
      <c r="C4" s="269"/>
      <c r="D4" s="269"/>
      <c r="E4" s="269"/>
      <c r="F4" s="269"/>
    </row>
    <row r="5" spans="1:6" ht="18.600000000000001" customHeight="1" x14ac:dyDescent="0.25">
      <c r="A5" s="79" t="s">
        <v>610</v>
      </c>
      <c r="B5" s="80">
        <v>17.53</v>
      </c>
      <c r="C5" s="4" t="s">
        <v>611</v>
      </c>
    </row>
    <row r="6" spans="1:6" ht="18.600000000000001" customHeight="1" x14ac:dyDescent="0.25">
      <c r="A6" s="79" t="s">
        <v>612</v>
      </c>
      <c r="B6" s="81">
        <v>7718.94</v>
      </c>
      <c r="C6" s="4" t="s">
        <v>613</v>
      </c>
    </row>
    <row r="7" spans="1:6" ht="18.600000000000001" customHeight="1" x14ac:dyDescent="0.25">
      <c r="A7" s="79" t="s">
        <v>614</v>
      </c>
      <c r="B7" s="81">
        <v>7263.43</v>
      </c>
      <c r="C7" s="4" t="s">
        <v>615</v>
      </c>
    </row>
    <row r="8" spans="1:6" ht="18.600000000000001" customHeight="1" x14ac:dyDescent="0.25">
      <c r="A8" s="59" t="s">
        <v>616</v>
      </c>
      <c r="B8" s="53" t="str">
        <f>IF(COUNT(B5:B7)&lt;3,"ENTER DATA",IF(B5&gt;Guide!$B$29,"RISK-OFF",IF(OR(B5&gt;=Guide!$B$28,B6&lt;B7),"CAUTION","RISK-ON")))</f>
        <v>RISK-ON</v>
      </c>
      <c r="C8" s="315" t="s">
        <v>617</v>
      </c>
      <c r="D8" s="273"/>
      <c r="E8" s="273"/>
      <c r="F8" s="273"/>
    </row>
    <row r="9" spans="1:6" x14ac:dyDescent="0.25">
      <c r="A9" s="7"/>
      <c r="B9" s="7"/>
      <c r="C9" s="7"/>
      <c r="D9" s="7"/>
      <c r="E9" s="7"/>
      <c r="F9" s="7"/>
    </row>
    <row r="10" spans="1:6" x14ac:dyDescent="0.25">
      <c r="A10" s="7"/>
      <c r="B10" s="7"/>
      <c r="C10" s="7"/>
      <c r="D10" s="7"/>
      <c r="E10" s="7"/>
      <c r="F10" s="7"/>
    </row>
    <row r="11" spans="1:6" ht="24" customHeight="1" thickBot="1" x14ac:dyDescent="0.3">
      <c r="A11" s="268" t="s">
        <v>618</v>
      </c>
      <c r="B11" s="269"/>
      <c r="C11" s="269"/>
      <c r="D11" s="269"/>
      <c r="E11" s="269"/>
      <c r="F11" s="269"/>
    </row>
    <row r="12" spans="1:6" ht="18.600000000000001" customHeight="1" x14ac:dyDescent="0.25">
      <c r="A12" s="8" t="s">
        <v>434</v>
      </c>
      <c r="B12" s="46" t="s">
        <v>372</v>
      </c>
      <c r="C12" s="46" t="s">
        <v>619</v>
      </c>
      <c r="D12" s="46" t="s">
        <v>374</v>
      </c>
      <c r="E12" s="46" t="s">
        <v>17</v>
      </c>
      <c r="F12" s="46" t="s">
        <v>620</v>
      </c>
    </row>
    <row r="13" spans="1:6" ht="33.75" customHeight="1" x14ac:dyDescent="0.25">
      <c r="A13" s="82" t="s">
        <v>621</v>
      </c>
      <c r="B13" s="83">
        <v>2.88</v>
      </c>
      <c r="C13" s="83">
        <v>2.62</v>
      </c>
      <c r="D13" s="84">
        <f>IF(COUNT(B13:C13)&lt;2,"",(B13-C13)*100)</f>
        <v>25.999999999999979</v>
      </c>
      <c r="E13" s="53">
        <f>IF(D13="","",IF(D13&lt;=-Guide!$B$30,1,IF(D13&gt;=Guide!$B$30,-1,0)))</f>
        <v>-1</v>
      </c>
      <c r="F13" s="130" t="s">
        <v>622</v>
      </c>
    </row>
    <row r="14" spans="1:6" ht="36.75" customHeight="1" x14ac:dyDescent="0.25">
      <c r="A14" s="82" t="s">
        <v>623</v>
      </c>
      <c r="B14" s="83">
        <v>102.11</v>
      </c>
      <c r="C14" s="83">
        <v>99.48</v>
      </c>
      <c r="D14" s="85">
        <f>IF(COUNT(B14:C14)&lt;2,"",(B14/C14-1)*100)</f>
        <v>2.6437474869320354</v>
      </c>
      <c r="E14" s="53">
        <f>IF(D14="","",IF(D14&lt;=-Guide!$B$31,1,IF(D14&gt;=Guide!$B$31,-1,0)))</f>
        <v>-1</v>
      </c>
      <c r="F14" s="130" t="s">
        <v>624</v>
      </c>
    </row>
    <row r="15" spans="1:6" ht="25.5" customHeight="1" x14ac:dyDescent="0.25">
      <c r="A15" s="82" t="s">
        <v>18</v>
      </c>
      <c r="B15" s="86" t="str">
        <f>B8</f>
        <v>RISK-ON</v>
      </c>
      <c r="C15" s="87"/>
      <c r="D15" s="88"/>
      <c r="E15" s="53">
        <f>IF(B15="RISK-OFF",1,0)</f>
        <v>0</v>
      </c>
      <c r="F15" s="22" t="s">
        <v>625</v>
      </c>
    </row>
    <row r="16" spans="1:6" ht="37.5" customHeight="1" x14ac:dyDescent="0.25">
      <c r="A16" s="82" t="s">
        <v>626</v>
      </c>
      <c r="B16" s="89">
        <v>0</v>
      </c>
      <c r="C16" s="87"/>
      <c r="D16" s="88"/>
      <c r="E16" s="53">
        <f>B16</f>
        <v>0</v>
      </c>
      <c r="F16" s="56" t="s">
        <v>627</v>
      </c>
    </row>
    <row r="17" spans="1:6" ht="24" customHeight="1" x14ac:dyDescent="0.25">
      <c r="A17" s="90" t="s">
        <v>628</v>
      </c>
      <c r="B17" s="71"/>
      <c r="C17" s="71"/>
      <c r="D17" s="71"/>
      <c r="E17" s="70">
        <f>IF(COUNT(E13:E16)&lt;4,"",SUM(E13:E16))</f>
        <v>-2</v>
      </c>
      <c r="F17" s="91"/>
    </row>
    <row r="18" spans="1:6" ht="23.25" customHeight="1" x14ac:dyDescent="0.25">
      <c r="A18" s="92" t="s">
        <v>629</v>
      </c>
      <c r="B18" s="93" t="str">
        <f>IF(E17="","ENTER DATA",IF(E17&gt;=Guide!$B$32,"LONG",IF(E17&lt;=-Guide!$B$32,"SHORT","FLAT")))</f>
        <v>SHORT</v>
      </c>
      <c r="C18" s="94"/>
      <c r="D18" s="94"/>
      <c r="E18" s="94"/>
      <c r="F18" s="95"/>
    </row>
  </sheetData>
  <mergeCells count="3">
    <mergeCell ref="C8:F8"/>
    <mergeCell ref="A11:F11"/>
    <mergeCell ref="A4:F4"/>
  </mergeCells>
  <conditionalFormatting sqref="B8">
    <cfRule type="expression" dxfId="60" priority="2">
      <formula>ISNUMBER(SEARCH("RISK-ON",B8))</formula>
    </cfRule>
    <cfRule type="expression" dxfId="59" priority="3">
      <formula>ISNUMBER(SEARCH("RISK-OFF",B8))</formula>
    </cfRule>
    <cfRule type="expression" dxfId="58" priority="4">
      <formula>ISNUMBER(SEARCH("CAUTION",B8))</formula>
    </cfRule>
    <cfRule type="expression" dxfId="57" priority="9" stopIfTrue="1">
      <formula>ISNUMBER(SEARCH("ENTER DATA",B8))</formula>
    </cfRule>
  </conditionalFormatting>
  <conditionalFormatting sqref="B18">
    <cfRule type="expression" dxfId="56" priority="5">
      <formula>ISNUMBER(SEARCH("LONG",B18))</formula>
    </cfRule>
    <cfRule type="expression" dxfId="55" priority="6">
      <formula>ISNUMBER(SEARCH("SHORT",B18))</formula>
    </cfRule>
    <cfRule type="expression" dxfId="54" priority="7">
      <formula>ISNUMBER(SEARCH("FLAT",B18))</formula>
    </cfRule>
    <cfRule type="expression" dxfId="53" priority="10" stopIfTrue="1">
      <formula>ISNUMBER(SEARCH("ENTER DATA",B18))</formula>
    </cfRule>
  </conditionalFormatting>
  <conditionalFormatting sqref="E13:E17">
    <cfRule type="cellIs" dxfId="52" priority="8" operator="greaterThan">
      <formula>0</formula>
    </cfRule>
    <cfRule type="cellIs" dxfId="51" priority="11" operator="lessThan">
      <formula>0</formula>
    </cfRule>
  </conditionalFormatting>
  <dataValidations count="1">
    <dataValidation type="list" sqref="B16" xr:uid="{00000000-0002-0000-0700-000000000000}">
      <formula1>"-1,0,1"</formula1>
      <formula2>0</formula2>
    </dataValidation>
  </dataValidations>
  <hyperlinks>
    <hyperlink ref="F1" location="'Guide'!A1" display="← Guide" xr:uid="{00000000-0004-0000-0700-000000000000}"/>
  </hyperlinks>
  <pageMargins left="0.75" right="0.75"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L52"/>
  <sheetViews>
    <sheetView showGridLines="0" zoomScaleNormal="100" workbookViewId="0">
      <pane xSplit="1" ySplit="12" topLeftCell="B13" activePane="bottomRight" state="frozen"/>
      <selection pane="topRight" activeCell="B1" sqref="B1"/>
      <selection pane="bottomLeft" activeCell="A13" sqref="A13"/>
      <selection pane="bottomRight" activeCell="E40" sqref="E39:E40"/>
    </sheetView>
  </sheetViews>
  <sheetFormatPr defaultColWidth="8.7109375" defaultRowHeight="15" x14ac:dyDescent="0.25"/>
  <cols>
    <col min="1" max="1" width="17.7109375" customWidth="1"/>
    <col min="2" max="2" width="17.28515625" customWidth="1"/>
    <col min="3" max="3" width="21.28515625" customWidth="1"/>
    <col min="4" max="4" width="19.5703125" customWidth="1"/>
    <col min="5" max="5" width="19.28515625" customWidth="1"/>
    <col min="6" max="6" width="59.7109375" customWidth="1"/>
    <col min="7" max="7" width="40.140625" customWidth="1"/>
    <col min="8" max="8" width="14.7109375" customWidth="1"/>
    <col min="9" max="9" width="13" customWidth="1"/>
    <col min="10" max="10" width="26" customWidth="1"/>
    <col min="11" max="11" width="12" customWidth="1"/>
    <col min="12" max="12" width="16" customWidth="1"/>
  </cols>
  <sheetData>
    <row r="1" spans="1:12" ht="33.950000000000003" customHeight="1" x14ac:dyDescent="0.25">
      <c r="A1" s="2" t="s">
        <v>630</v>
      </c>
      <c r="B1" s="3"/>
      <c r="C1" s="3"/>
      <c r="D1" s="3"/>
      <c r="E1" s="3"/>
      <c r="F1" s="3"/>
      <c r="G1" s="3"/>
      <c r="H1" s="3"/>
      <c r="I1" s="3"/>
      <c r="J1" s="3"/>
      <c r="K1" s="3"/>
      <c r="L1" s="45" t="s">
        <v>1</v>
      </c>
    </row>
    <row r="2" spans="1:12" ht="20.100000000000001" customHeight="1" x14ac:dyDescent="0.25">
      <c r="A2" s="74" t="s">
        <v>631</v>
      </c>
    </row>
    <row r="3" spans="1:12" ht="8.1" customHeight="1" x14ac:dyDescent="0.25">
      <c r="A3" s="7"/>
      <c r="B3" s="7"/>
      <c r="C3" s="7"/>
      <c r="D3" s="7"/>
      <c r="E3" s="7"/>
      <c r="F3" s="7"/>
      <c r="G3" s="7"/>
      <c r="H3" s="7"/>
      <c r="I3" s="7"/>
      <c r="J3" s="7"/>
      <c r="K3" s="7"/>
      <c r="L3" s="7"/>
    </row>
    <row r="4" spans="1:12" ht="24" customHeight="1" thickBot="1" x14ac:dyDescent="0.3">
      <c r="A4" s="268" t="s">
        <v>632</v>
      </c>
      <c r="B4" s="269"/>
      <c r="C4" s="269"/>
      <c r="D4" s="7"/>
      <c r="E4" s="268" t="s">
        <v>633</v>
      </c>
      <c r="F4" s="269"/>
      <c r="K4" s="7"/>
      <c r="L4" s="7"/>
    </row>
    <row r="5" spans="1:12" ht="18.600000000000001" customHeight="1" x14ac:dyDescent="0.25">
      <c r="A5" s="46" t="s">
        <v>15</v>
      </c>
      <c r="B5" s="46" t="s">
        <v>634</v>
      </c>
      <c r="C5" s="46" t="s">
        <v>635</v>
      </c>
      <c r="D5" s="7"/>
      <c r="E5" s="46" t="s">
        <v>485</v>
      </c>
      <c r="F5" s="9" t="s">
        <v>636</v>
      </c>
      <c r="G5" s="96"/>
      <c r="H5" s="96"/>
      <c r="I5" s="96"/>
      <c r="J5" s="96"/>
      <c r="K5" s="7"/>
      <c r="L5" s="7"/>
    </row>
    <row r="6" spans="1:12" ht="43.9" customHeight="1" x14ac:dyDescent="0.25">
      <c r="A6" s="131" t="s">
        <v>345</v>
      </c>
      <c r="B6" s="97">
        <v>157.97</v>
      </c>
      <c r="C6" s="98">
        <v>46310</v>
      </c>
      <c r="D6" s="7"/>
      <c r="E6" s="36" t="s">
        <v>209</v>
      </c>
      <c r="F6" s="99" t="s">
        <v>637</v>
      </c>
      <c r="G6" s="96"/>
      <c r="H6" s="96"/>
      <c r="I6" s="96"/>
      <c r="J6" s="96"/>
      <c r="K6" s="7"/>
      <c r="L6" s="7"/>
    </row>
    <row r="7" spans="1:12" ht="31.15" customHeight="1" x14ac:dyDescent="0.25">
      <c r="A7" s="131" t="s">
        <v>53</v>
      </c>
      <c r="B7" s="97">
        <v>4147.13</v>
      </c>
      <c r="C7" s="98">
        <v>46310</v>
      </c>
      <c r="D7" s="7"/>
      <c r="E7" s="37" t="s">
        <v>214</v>
      </c>
      <c r="F7" s="99" t="s">
        <v>638</v>
      </c>
      <c r="G7" s="96"/>
      <c r="H7" s="96"/>
      <c r="I7" s="96"/>
      <c r="J7" s="96"/>
      <c r="K7" s="7"/>
      <c r="L7" s="7"/>
    </row>
    <row r="8" spans="1:12" ht="31.15" customHeight="1" x14ac:dyDescent="0.25">
      <c r="A8" s="131" t="s">
        <v>342</v>
      </c>
      <c r="B8" s="97">
        <v>1.1211</v>
      </c>
      <c r="C8" s="98">
        <v>46310</v>
      </c>
      <c r="D8" s="7"/>
      <c r="E8" s="38" t="s">
        <v>218</v>
      </c>
      <c r="F8" s="99" t="s">
        <v>639</v>
      </c>
      <c r="G8" s="96"/>
      <c r="H8" s="96"/>
      <c r="I8" s="96"/>
      <c r="J8" s="96"/>
      <c r="K8" s="7"/>
      <c r="L8" s="7"/>
    </row>
    <row r="9" spans="1:12" ht="18.600000000000001" customHeight="1" x14ac:dyDescent="0.25">
      <c r="A9" s="131" t="s">
        <v>344</v>
      </c>
      <c r="B9" s="97">
        <v>1.3248</v>
      </c>
      <c r="C9" s="98">
        <v>46310</v>
      </c>
      <c r="D9" s="7"/>
      <c r="E9" s="40" t="s">
        <v>30</v>
      </c>
      <c r="F9" s="99" t="s">
        <v>640</v>
      </c>
      <c r="G9" s="96"/>
      <c r="H9" s="96"/>
      <c r="I9" s="96"/>
      <c r="J9" s="96"/>
      <c r="K9" s="7"/>
      <c r="L9" s="7"/>
    </row>
    <row r="10" spans="1:12" ht="18.600000000000001" customHeight="1" x14ac:dyDescent="0.25">
      <c r="A10" s="131" t="s">
        <v>641</v>
      </c>
      <c r="B10" s="97">
        <v>29950.82</v>
      </c>
      <c r="C10" s="98">
        <v>46310</v>
      </c>
      <c r="D10" s="7"/>
      <c r="E10" s="7"/>
      <c r="F10" s="7"/>
      <c r="G10" s="7"/>
      <c r="H10" s="7"/>
      <c r="I10" s="7"/>
      <c r="J10" s="7"/>
      <c r="K10" s="7"/>
      <c r="L10" s="7"/>
    </row>
    <row r="11" spans="1:12" x14ac:dyDescent="0.25">
      <c r="A11" s="7"/>
      <c r="B11" s="7"/>
      <c r="C11" s="7"/>
      <c r="D11" s="7"/>
      <c r="E11" s="7"/>
      <c r="F11" s="7"/>
      <c r="G11" s="7"/>
      <c r="H11" s="7"/>
      <c r="I11" s="7"/>
      <c r="J11" s="7"/>
      <c r="K11" s="7"/>
      <c r="L11" s="7"/>
    </row>
    <row r="12" spans="1:12" ht="30" customHeight="1" x14ac:dyDescent="0.25">
      <c r="A12" s="46" t="s">
        <v>15</v>
      </c>
      <c r="B12" s="46" t="s">
        <v>642</v>
      </c>
      <c r="C12" s="46" t="s">
        <v>643</v>
      </c>
      <c r="D12" s="46" t="s">
        <v>485</v>
      </c>
      <c r="E12" s="46" t="s">
        <v>644</v>
      </c>
      <c r="F12" s="46" t="s">
        <v>645</v>
      </c>
      <c r="G12" s="46" t="s">
        <v>646</v>
      </c>
      <c r="H12" s="46" t="s">
        <v>647</v>
      </c>
      <c r="I12" s="46" t="s">
        <v>648</v>
      </c>
      <c r="J12" s="46" t="s">
        <v>649</v>
      </c>
      <c r="K12" s="46" t="s">
        <v>650</v>
      </c>
      <c r="L12" s="46" t="s">
        <v>338</v>
      </c>
    </row>
    <row r="13" spans="1:12" ht="31.15" customHeight="1" x14ac:dyDescent="0.25">
      <c r="A13" s="21" t="s">
        <v>345</v>
      </c>
      <c r="B13" s="100">
        <v>164</v>
      </c>
      <c r="C13" s="100">
        <v>163</v>
      </c>
      <c r="D13" s="21" t="s">
        <v>209</v>
      </c>
      <c r="E13" s="21">
        <v>3</v>
      </c>
      <c r="F13" s="56" t="s">
        <v>651</v>
      </c>
      <c r="G13" s="56" t="s">
        <v>652</v>
      </c>
      <c r="H13" s="54">
        <v>46234</v>
      </c>
      <c r="I13" s="54"/>
      <c r="J13" s="56" t="s">
        <v>653</v>
      </c>
      <c r="K13" s="101">
        <f t="shared" ref="K13:K52" si="0">IF(OR(A13="",B13=""),"",IFERROR(IF(INDEX($B$6:$B$10,MATCH(A13,$A$6:$A$10,0))="","",(B13/INDEX($B$6:$B$10,MATCH(A13,$A$6:$A$10,0))-1)*100),""))</f>
        <v>3.8171804773058149</v>
      </c>
      <c r="L13" s="53" t="str">
        <f>IF(K13="","",IF(ABS(K13)&lt;=Guide!$B$33,"NEAR — watch",IF(K13&gt;0,"above price","below price")))</f>
        <v>above price</v>
      </c>
    </row>
    <row r="14" spans="1:12" ht="18.600000000000001" customHeight="1" x14ac:dyDescent="0.25">
      <c r="A14" s="21" t="s">
        <v>345</v>
      </c>
      <c r="B14" s="100">
        <v>161.94999999999999</v>
      </c>
      <c r="C14" s="100"/>
      <c r="D14" s="21" t="s">
        <v>209</v>
      </c>
      <c r="E14" s="21">
        <v>2</v>
      </c>
      <c r="F14" s="56" t="s">
        <v>654</v>
      </c>
      <c r="G14" s="56" t="s">
        <v>655</v>
      </c>
      <c r="H14" s="54">
        <v>45484</v>
      </c>
      <c r="I14" s="54"/>
      <c r="J14" s="56"/>
      <c r="K14" s="101">
        <f t="shared" si="0"/>
        <v>2.5194657213394978</v>
      </c>
      <c r="L14" s="53" t="str">
        <f>IF(K14="","",IF(ABS(K14)&lt;=Guide!$B$33,"NEAR — watch",IF(K14&gt;0,"above price","below price")))</f>
        <v>above price</v>
      </c>
    </row>
    <row r="15" spans="1:12" ht="18.600000000000001" customHeight="1" x14ac:dyDescent="0.25">
      <c r="A15" s="21" t="s">
        <v>345</v>
      </c>
      <c r="B15" s="100">
        <v>160.19999999999999</v>
      </c>
      <c r="C15" s="100"/>
      <c r="D15" s="21" t="s">
        <v>209</v>
      </c>
      <c r="E15" s="21">
        <v>2</v>
      </c>
      <c r="F15" s="56" t="s">
        <v>656</v>
      </c>
      <c r="G15" s="56" t="s">
        <v>655</v>
      </c>
      <c r="H15" s="54">
        <v>45411</v>
      </c>
      <c r="I15" s="54"/>
      <c r="J15" s="56"/>
      <c r="K15" s="101">
        <f t="shared" si="0"/>
        <v>1.411660441856033</v>
      </c>
      <c r="L15" s="53" t="str">
        <f>IF(K15="","",IF(ABS(K15)&lt;=Guide!$B$33,"NEAR — watch",IF(K15&gt;0,"above price","below price")))</f>
        <v>above price</v>
      </c>
    </row>
    <row r="16" spans="1:12" ht="31.15" customHeight="1" x14ac:dyDescent="0.25">
      <c r="A16" s="21" t="s">
        <v>345</v>
      </c>
      <c r="B16" s="100">
        <v>160</v>
      </c>
      <c r="C16" s="100"/>
      <c r="D16" s="21" t="s">
        <v>209</v>
      </c>
      <c r="E16" s="21">
        <v>3</v>
      </c>
      <c r="F16" s="56" t="s">
        <v>657</v>
      </c>
      <c r="G16" s="56" t="s">
        <v>658</v>
      </c>
      <c r="H16" s="54"/>
      <c r="I16" s="54"/>
      <c r="J16" s="56"/>
      <c r="K16" s="101">
        <f t="shared" si="0"/>
        <v>1.2850541242007907</v>
      </c>
      <c r="L16" s="53" t="str">
        <f>IF(K16="","",IF(ABS(K16)&lt;=Guide!$B$33,"NEAR — watch",IF(K16&gt;0,"above price","below price")))</f>
        <v>above price</v>
      </c>
    </row>
    <row r="17" spans="1:12" ht="18.600000000000001" customHeight="1" x14ac:dyDescent="0.25">
      <c r="A17" s="21" t="s">
        <v>345</v>
      </c>
      <c r="B17" s="100">
        <v>155.30000000000001</v>
      </c>
      <c r="C17" s="100"/>
      <c r="D17" s="21" t="s">
        <v>218</v>
      </c>
      <c r="E17" s="21">
        <v>2</v>
      </c>
      <c r="F17" s="56" t="s">
        <v>659</v>
      </c>
      <c r="G17" s="56" t="s">
        <v>660</v>
      </c>
      <c r="H17" s="54">
        <v>46237</v>
      </c>
      <c r="I17" s="54">
        <v>46268</v>
      </c>
      <c r="J17" s="56" t="s">
        <v>661</v>
      </c>
      <c r="K17" s="101">
        <f t="shared" si="0"/>
        <v>-1.6901943406975928</v>
      </c>
      <c r="L17" s="53" t="str">
        <f>IF(K17="","",IF(ABS(K17)&lt;=Guide!$B$33,"NEAR — watch",IF(K17&gt;0,"above price","below price")))</f>
        <v>below price</v>
      </c>
    </row>
    <row r="18" spans="1:12" ht="18.600000000000001" customHeight="1" x14ac:dyDescent="0.25">
      <c r="A18" s="21" t="s">
        <v>345</v>
      </c>
      <c r="B18" s="100">
        <v>151.94999999999999</v>
      </c>
      <c r="C18" s="100"/>
      <c r="D18" s="21" t="s">
        <v>209</v>
      </c>
      <c r="E18" s="21">
        <v>1</v>
      </c>
      <c r="F18" s="56" t="s">
        <v>662</v>
      </c>
      <c r="G18" s="56" t="s">
        <v>655</v>
      </c>
      <c r="H18" s="54">
        <v>44855</v>
      </c>
      <c r="I18" s="54"/>
      <c r="J18" s="56"/>
      <c r="K18" s="101">
        <f t="shared" si="0"/>
        <v>-3.8108501614230628</v>
      </c>
      <c r="L18" s="53" t="str">
        <f>IF(K18="","",IF(ABS(K18)&lt;=Guide!$B$33,"NEAR — watch",IF(K18&gt;0,"above price","below price")))</f>
        <v>below price</v>
      </c>
    </row>
    <row r="19" spans="1:12" ht="18.600000000000001" customHeight="1" x14ac:dyDescent="0.25">
      <c r="A19" s="21" t="s">
        <v>345</v>
      </c>
      <c r="B19" s="100">
        <v>145.9</v>
      </c>
      <c r="C19" s="100"/>
      <c r="D19" s="21" t="s">
        <v>209</v>
      </c>
      <c r="E19" s="21">
        <v>1</v>
      </c>
      <c r="F19" s="56" t="s">
        <v>663</v>
      </c>
      <c r="G19" s="56" t="s">
        <v>655</v>
      </c>
      <c r="H19" s="54">
        <v>44826</v>
      </c>
      <c r="I19" s="54"/>
      <c r="J19" s="56"/>
      <c r="K19" s="101">
        <f t="shared" si="0"/>
        <v>-7.6406912704943935</v>
      </c>
      <c r="L19" s="53" t="str">
        <f>IF(K19="","",IF(ABS(K19)&lt;=Guide!$B$33,"NEAR — watch",IF(K19&gt;0,"above price","below price")))</f>
        <v>below price</v>
      </c>
    </row>
    <row r="20" spans="1:12" ht="18.600000000000001" customHeight="1" x14ac:dyDescent="0.25">
      <c r="A20" s="21" t="s">
        <v>53</v>
      </c>
      <c r="B20" s="100">
        <v>5602</v>
      </c>
      <c r="C20" s="100"/>
      <c r="D20" s="21" t="s">
        <v>218</v>
      </c>
      <c r="E20" s="21">
        <v>3</v>
      </c>
      <c r="F20" s="56" t="s">
        <v>664</v>
      </c>
      <c r="G20" s="56" t="s">
        <v>665</v>
      </c>
      <c r="H20" s="54">
        <v>46051</v>
      </c>
      <c r="I20" s="54"/>
      <c r="J20" s="56"/>
      <c r="K20" s="101">
        <f t="shared" si="0"/>
        <v>35.081369525430837</v>
      </c>
      <c r="L20" s="53" t="str">
        <f>IF(K20="","",IF(ABS(K20)&lt;=Guide!$B$33,"NEAR — watch",IF(K20&gt;0,"above price","below price")))</f>
        <v>above price</v>
      </c>
    </row>
    <row r="21" spans="1:12" ht="31.15" customHeight="1" x14ac:dyDescent="0.25">
      <c r="A21" s="21" t="s">
        <v>53</v>
      </c>
      <c r="B21" s="100">
        <v>4563</v>
      </c>
      <c r="C21" s="100"/>
      <c r="D21" s="21" t="s">
        <v>218</v>
      </c>
      <c r="E21" s="21">
        <v>2</v>
      </c>
      <c r="F21" s="56" t="s">
        <v>666</v>
      </c>
      <c r="G21" s="56" t="s">
        <v>667</v>
      </c>
      <c r="H21" s="54">
        <v>46265</v>
      </c>
      <c r="I21" s="54"/>
      <c r="J21" s="56"/>
      <c r="K21" s="101">
        <f t="shared" si="0"/>
        <v>10.027898811949477</v>
      </c>
      <c r="L21" s="53" t="str">
        <f>IF(K21="","",IF(ABS(K21)&lt;=Guide!$B$33,"NEAR — watch",IF(K21&gt;0,"above price","below price")))</f>
        <v>above price</v>
      </c>
    </row>
    <row r="22" spans="1:12" ht="18.600000000000001" customHeight="1" x14ac:dyDescent="0.25">
      <c r="A22" s="21" t="s">
        <v>53</v>
      </c>
      <c r="B22" s="100">
        <v>4439.8</v>
      </c>
      <c r="C22" s="100"/>
      <c r="D22" s="21" t="s">
        <v>218</v>
      </c>
      <c r="E22" s="21">
        <v>1</v>
      </c>
      <c r="F22" s="56" t="s">
        <v>668</v>
      </c>
      <c r="G22" s="56" t="s">
        <v>669</v>
      </c>
      <c r="H22" s="54">
        <v>46283</v>
      </c>
      <c r="I22" s="54"/>
      <c r="J22" s="56"/>
      <c r="K22" s="101">
        <f t="shared" si="0"/>
        <v>7.0571696570881581</v>
      </c>
      <c r="L22" s="53" t="str">
        <f>IF(K22="","",IF(ABS(K22)&lt;=Guide!$B$33,"NEAR — watch",IF(K22&gt;0,"above price","below price")))</f>
        <v>above price</v>
      </c>
    </row>
    <row r="23" spans="1:12" ht="18.600000000000001" customHeight="1" x14ac:dyDescent="0.25">
      <c r="A23" s="21" t="s">
        <v>53</v>
      </c>
      <c r="B23" s="100">
        <v>4261</v>
      </c>
      <c r="C23" s="100"/>
      <c r="D23" s="21" t="s">
        <v>218</v>
      </c>
      <c r="E23" s="21">
        <v>2</v>
      </c>
      <c r="F23" s="56" t="s">
        <v>670</v>
      </c>
      <c r="G23" s="56" t="s">
        <v>671</v>
      </c>
      <c r="H23" s="54">
        <v>46281</v>
      </c>
      <c r="I23" s="54">
        <v>46281</v>
      </c>
      <c r="J23" s="56" t="s">
        <v>672</v>
      </c>
      <c r="K23" s="101">
        <f t="shared" si="0"/>
        <v>2.7457542927277423</v>
      </c>
      <c r="L23" s="53" t="str">
        <f>IF(K23="","",IF(ABS(K23)&lt;=Guide!$B$33,"NEAR — watch",IF(K23&gt;0,"above price","below price")))</f>
        <v>above price</v>
      </c>
    </row>
    <row r="24" spans="1:12" ht="31.15" customHeight="1" x14ac:dyDescent="0.25">
      <c r="A24" s="21" t="s">
        <v>53</v>
      </c>
      <c r="B24" s="100">
        <v>4000</v>
      </c>
      <c r="C24" s="100">
        <v>4065</v>
      </c>
      <c r="D24" s="21" t="s">
        <v>218</v>
      </c>
      <c r="E24" s="21">
        <v>2</v>
      </c>
      <c r="F24" s="56" t="s">
        <v>673</v>
      </c>
      <c r="G24" s="56" t="s">
        <v>674</v>
      </c>
      <c r="H24" s="54"/>
      <c r="I24" s="54"/>
      <c r="J24" s="56"/>
      <c r="K24" s="101">
        <f t="shared" si="0"/>
        <v>-3.5477547122950148</v>
      </c>
      <c r="L24" s="53" t="str">
        <f>IF(K24="","",IF(ABS(K24)&lt;=Guide!$B$33,"NEAR — watch",IF(K24&gt;0,"above price","below price")))</f>
        <v>below price</v>
      </c>
    </row>
    <row r="25" spans="1:12" x14ac:dyDescent="0.25">
      <c r="A25" s="21"/>
      <c r="B25" s="100"/>
      <c r="C25" s="100"/>
      <c r="D25" s="21"/>
      <c r="E25" s="21"/>
      <c r="F25" s="56"/>
      <c r="G25" s="56"/>
      <c r="H25" s="54"/>
      <c r="I25" s="54"/>
      <c r="J25" s="56"/>
      <c r="K25" s="101" t="str">
        <f t="shared" si="0"/>
        <v/>
      </c>
      <c r="L25" s="53" t="str">
        <f>IF(K25="","",IF(ABS(K25)&lt;=Guide!$B$33,"NEAR — watch",IF(K25&gt;0,"above price","below price")))</f>
        <v/>
      </c>
    </row>
    <row r="26" spans="1:12" x14ac:dyDescent="0.25">
      <c r="A26" s="21"/>
      <c r="B26" s="100"/>
      <c r="C26" s="100"/>
      <c r="D26" s="21"/>
      <c r="E26" s="21"/>
      <c r="F26" s="56"/>
      <c r="G26" s="56"/>
      <c r="H26" s="54"/>
      <c r="I26" s="54"/>
      <c r="J26" s="56"/>
      <c r="K26" s="101" t="str">
        <f t="shared" si="0"/>
        <v/>
      </c>
      <c r="L26" s="53" t="str">
        <f>IF(K26="","",IF(ABS(K26)&lt;=Guide!$B$33,"NEAR — watch",IF(K26&gt;0,"above price","below price")))</f>
        <v/>
      </c>
    </row>
    <row r="27" spans="1:12" x14ac:dyDescent="0.25">
      <c r="A27" s="21"/>
      <c r="B27" s="100"/>
      <c r="C27" s="100"/>
      <c r="D27" s="21"/>
      <c r="E27" s="21"/>
      <c r="F27" s="56"/>
      <c r="G27" s="56"/>
      <c r="H27" s="54"/>
      <c r="I27" s="54"/>
      <c r="J27" s="56"/>
      <c r="K27" s="101" t="str">
        <f t="shared" si="0"/>
        <v/>
      </c>
      <c r="L27" s="53" t="str">
        <f>IF(K27="","",IF(ABS(K27)&lt;=Guide!$B$33,"NEAR — watch",IF(K27&gt;0,"above price","below price")))</f>
        <v/>
      </c>
    </row>
    <row r="28" spans="1:12" x14ac:dyDescent="0.25">
      <c r="A28" s="21"/>
      <c r="B28" s="100"/>
      <c r="C28" s="100"/>
      <c r="D28" s="21"/>
      <c r="E28" s="21"/>
      <c r="F28" s="56"/>
      <c r="G28" s="56"/>
      <c r="H28" s="54"/>
      <c r="I28" s="54"/>
      <c r="J28" s="56"/>
      <c r="K28" s="101" t="str">
        <f t="shared" si="0"/>
        <v/>
      </c>
      <c r="L28" s="53" t="str">
        <f>IF(K28="","",IF(ABS(K28)&lt;=Guide!$B$33,"NEAR — watch",IF(K28&gt;0,"above price","below price")))</f>
        <v/>
      </c>
    </row>
    <row r="29" spans="1:12" x14ac:dyDescent="0.25">
      <c r="A29" s="21"/>
      <c r="B29" s="100"/>
      <c r="C29" s="100"/>
      <c r="D29" s="21"/>
      <c r="E29" s="21"/>
      <c r="F29" s="56"/>
      <c r="G29" s="56"/>
      <c r="H29" s="54"/>
      <c r="I29" s="54"/>
      <c r="J29" s="56"/>
      <c r="K29" s="101" t="str">
        <f t="shared" si="0"/>
        <v/>
      </c>
      <c r="L29" s="53" t="str">
        <f>IF(K29="","",IF(ABS(K29)&lt;=Guide!$B$33,"NEAR — watch",IF(K29&gt;0,"above price","below price")))</f>
        <v/>
      </c>
    </row>
    <row r="30" spans="1:12" x14ac:dyDescent="0.25">
      <c r="A30" s="21"/>
      <c r="B30" s="100"/>
      <c r="C30" s="100"/>
      <c r="D30" s="21"/>
      <c r="E30" s="21"/>
      <c r="F30" s="56"/>
      <c r="G30" s="56"/>
      <c r="H30" s="54"/>
      <c r="I30" s="54"/>
      <c r="J30" s="56"/>
      <c r="K30" s="101" t="str">
        <f t="shared" si="0"/>
        <v/>
      </c>
      <c r="L30" s="53" t="str">
        <f>IF(K30="","",IF(ABS(K30)&lt;=Guide!$B$33,"NEAR — watch",IF(K30&gt;0,"above price","below price")))</f>
        <v/>
      </c>
    </row>
    <row r="31" spans="1:12" x14ac:dyDescent="0.25">
      <c r="A31" s="21"/>
      <c r="B31" s="100"/>
      <c r="C31" s="100"/>
      <c r="D31" s="21"/>
      <c r="E31" s="21"/>
      <c r="F31" s="56"/>
      <c r="G31" s="56"/>
      <c r="H31" s="54"/>
      <c r="I31" s="54"/>
      <c r="J31" s="56"/>
      <c r="K31" s="101" t="str">
        <f t="shared" si="0"/>
        <v/>
      </c>
      <c r="L31" s="53" t="str">
        <f>IF(K31="","",IF(ABS(K31)&lt;=Guide!$B$33,"NEAR — watch",IF(K31&gt;0,"above price","below price")))</f>
        <v/>
      </c>
    </row>
    <row r="32" spans="1:12" x14ac:dyDescent="0.25">
      <c r="A32" s="21"/>
      <c r="B32" s="100"/>
      <c r="C32" s="100"/>
      <c r="D32" s="21"/>
      <c r="E32" s="21"/>
      <c r="F32" s="56"/>
      <c r="G32" s="56"/>
      <c r="H32" s="54"/>
      <c r="I32" s="54"/>
      <c r="J32" s="56"/>
      <c r="K32" s="101" t="str">
        <f t="shared" si="0"/>
        <v/>
      </c>
      <c r="L32" s="53" t="str">
        <f>IF(K32="","",IF(ABS(K32)&lt;=Guide!$B$33,"NEAR — watch",IF(K32&gt;0,"above price","below price")))</f>
        <v/>
      </c>
    </row>
    <row r="33" spans="1:12" x14ac:dyDescent="0.25">
      <c r="A33" s="21"/>
      <c r="B33" s="100"/>
      <c r="C33" s="100"/>
      <c r="D33" s="21"/>
      <c r="E33" s="21"/>
      <c r="F33" s="56"/>
      <c r="G33" s="56"/>
      <c r="H33" s="54"/>
      <c r="I33" s="54"/>
      <c r="J33" s="56"/>
      <c r="K33" s="101" t="str">
        <f t="shared" si="0"/>
        <v/>
      </c>
      <c r="L33" s="53" t="str">
        <f>IF(K33="","",IF(ABS(K33)&lt;=Guide!$B$33,"NEAR — watch",IF(K33&gt;0,"above price","below price")))</f>
        <v/>
      </c>
    </row>
    <row r="34" spans="1:12" x14ac:dyDescent="0.25">
      <c r="A34" s="21"/>
      <c r="B34" s="100"/>
      <c r="C34" s="100"/>
      <c r="D34" s="21"/>
      <c r="E34" s="21"/>
      <c r="F34" s="56"/>
      <c r="G34" s="56"/>
      <c r="H34" s="54"/>
      <c r="I34" s="54"/>
      <c r="J34" s="56"/>
      <c r="K34" s="101" t="str">
        <f t="shared" si="0"/>
        <v/>
      </c>
      <c r="L34" s="53" t="str">
        <f>IF(K34="","",IF(ABS(K34)&lt;=Guide!$B$33,"NEAR — watch",IF(K34&gt;0,"above price","below price")))</f>
        <v/>
      </c>
    </row>
    <row r="35" spans="1:12" x14ac:dyDescent="0.25">
      <c r="A35" s="21"/>
      <c r="B35" s="100"/>
      <c r="C35" s="100"/>
      <c r="D35" s="21"/>
      <c r="E35" s="21"/>
      <c r="F35" s="56"/>
      <c r="G35" s="56"/>
      <c r="H35" s="54"/>
      <c r="I35" s="54"/>
      <c r="J35" s="56"/>
      <c r="K35" s="101" t="str">
        <f t="shared" si="0"/>
        <v/>
      </c>
      <c r="L35" s="53" t="str">
        <f>IF(K35="","",IF(ABS(K35)&lt;=Guide!$B$33,"NEAR — watch",IF(K35&gt;0,"above price","below price")))</f>
        <v/>
      </c>
    </row>
    <row r="36" spans="1:12" x14ac:dyDescent="0.25">
      <c r="A36" s="21"/>
      <c r="B36" s="100"/>
      <c r="C36" s="100"/>
      <c r="D36" s="21"/>
      <c r="E36" s="21"/>
      <c r="F36" s="56"/>
      <c r="G36" s="56"/>
      <c r="H36" s="54"/>
      <c r="I36" s="54"/>
      <c r="J36" s="56"/>
      <c r="K36" s="101" t="str">
        <f t="shared" si="0"/>
        <v/>
      </c>
      <c r="L36" s="53" t="str">
        <f>IF(K36="","",IF(ABS(K36)&lt;=Guide!$B$33,"NEAR — watch",IF(K36&gt;0,"above price","below price")))</f>
        <v/>
      </c>
    </row>
    <row r="37" spans="1:12" x14ac:dyDescent="0.25">
      <c r="A37" s="21"/>
      <c r="B37" s="100"/>
      <c r="C37" s="100"/>
      <c r="D37" s="21"/>
      <c r="E37" s="21"/>
      <c r="F37" s="56"/>
      <c r="G37" s="56"/>
      <c r="H37" s="54"/>
      <c r="I37" s="54"/>
      <c r="J37" s="56"/>
      <c r="K37" s="101" t="str">
        <f t="shared" si="0"/>
        <v/>
      </c>
      <c r="L37" s="53" t="str">
        <f>IF(K37="","",IF(ABS(K37)&lt;=Guide!$B$33,"NEAR — watch",IF(K37&gt;0,"above price","below price")))</f>
        <v/>
      </c>
    </row>
    <row r="38" spans="1:12" x14ac:dyDescent="0.25">
      <c r="A38" s="21"/>
      <c r="B38" s="100"/>
      <c r="C38" s="100"/>
      <c r="D38" s="21"/>
      <c r="E38" s="21"/>
      <c r="F38" s="56"/>
      <c r="G38" s="56"/>
      <c r="H38" s="54"/>
      <c r="I38" s="54"/>
      <c r="J38" s="56"/>
      <c r="K38" s="101" t="str">
        <f t="shared" si="0"/>
        <v/>
      </c>
      <c r="L38" s="53" t="str">
        <f>IF(K38="","",IF(ABS(K38)&lt;=Guide!$B$33,"NEAR — watch",IF(K38&gt;0,"above price","below price")))</f>
        <v/>
      </c>
    </row>
    <row r="39" spans="1:12" x14ac:dyDescent="0.25">
      <c r="A39" s="21"/>
      <c r="B39" s="100"/>
      <c r="C39" s="100"/>
      <c r="D39" s="21"/>
      <c r="E39" s="21"/>
      <c r="F39" s="56"/>
      <c r="G39" s="56"/>
      <c r="H39" s="54"/>
      <c r="I39" s="54"/>
      <c r="J39" s="56"/>
      <c r="K39" s="101" t="str">
        <f t="shared" si="0"/>
        <v/>
      </c>
      <c r="L39" s="53" t="str">
        <f>IF(K39="","",IF(ABS(K39)&lt;=Guide!$B$33,"NEAR — watch",IF(K39&gt;0,"above price","below price")))</f>
        <v/>
      </c>
    </row>
    <row r="40" spans="1:12" x14ac:dyDescent="0.25">
      <c r="A40" s="21"/>
      <c r="B40" s="100"/>
      <c r="C40" s="100"/>
      <c r="D40" s="21"/>
      <c r="E40" s="21"/>
      <c r="F40" s="56"/>
      <c r="G40" s="56"/>
      <c r="H40" s="54"/>
      <c r="I40" s="54"/>
      <c r="J40" s="56"/>
      <c r="K40" s="101" t="str">
        <f t="shared" si="0"/>
        <v/>
      </c>
      <c r="L40" s="53" t="str">
        <f>IF(K40="","",IF(ABS(K40)&lt;=Guide!$B$33,"NEAR — watch",IF(K40&gt;0,"above price","below price")))</f>
        <v/>
      </c>
    </row>
    <row r="41" spans="1:12" x14ac:dyDescent="0.25">
      <c r="A41" s="21"/>
      <c r="B41" s="100"/>
      <c r="C41" s="100"/>
      <c r="D41" s="21"/>
      <c r="E41" s="21"/>
      <c r="F41" s="56"/>
      <c r="G41" s="56"/>
      <c r="H41" s="54"/>
      <c r="I41" s="54"/>
      <c r="J41" s="56"/>
      <c r="K41" s="101" t="str">
        <f t="shared" si="0"/>
        <v/>
      </c>
      <c r="L41" s="53" t="str">
        <f>IF(K41="","",IF(ABS(K41)&lt;=Guide!$B$33,"NEAR — watch",IF(K41&gt;0,"above price","below price")))</f>
        <v/>
      </c>
    </row>
    <row r="42" spans="1:12" x14ac:dyDescent="0.25">
      <c r="A42" s="21"/>
      <c r="B42" s="100"/>
      <c r="C42" s="100"/>
      <c r="D42" s="21"/>
      <c r="E42" s="21"/>
      <c r="F42" s="56"/>
      <c r="G42" s="56"/>
      <c r="H42" s="54"/>
      <c r="I42" s="54"/>
      <c r="J42" s="56"/>
      <c r="K42" s="101" t="str">
        <f t="shared" si="0"/>
        <v/>
      </c>
      <c r="L42" s="53" t="str">
        <f>IF(K42="","",IF(ABS(K42)&lt;=Guide!$B$33,"NEAR — watch",IF(K42&gt;0,"above price","below price")))</f>
        <v/>
      </c>
    </row>
    <row r="43" spans="1:12" x14ac:dyDescent="0.25">
      <c r="A43" s="21"/>
      <c r="B43" s="100"/>
      <c r="C43" s="100"/>
      <c r="D43" s="21"/>
      <c r="E43" s="21"/>
      <c r="F43" s="56"/>
      <c r="G43" s="56"/>
      <c r="H43" s="54"/>
      <c r="I43" s="54"/>
      <c r="J43" s="56"/>
      <c r="K43" s="101" t="str">
        <f t="shared" si="0"/>
        <v/>
      </c>
      <c r="L43" s="53" t="str">
        <f>IF(K43="","",IF(ABS(K43)&lt;=Guide!$B$33,"NEAR — watch",IF(K43&gt;0,"above price","below price")))</f>
        <v/>
      </c>
    </row>
    <row r="44" spans="1:12" x14ac:dyDescent="0.25">
      <c r="A44" s="21"/>
      <c r="B44" s="100"/>
      <c r="C44" s="100"/>
      <c r="D44" s="21"/>
      <c r="E44" s="21"/>
      <c r="F44" s="56"/>
      <c r="G44" s="56"/>
      <c r="H44" s="54"/>
      <c r="I44" s="54"/>
      <c r="J44" s="56"/>
      <c r="K44" s="101" t="str">
        <f t="shared" si="0"/>
        <v/>
      </c>
      <c r="L44" s="53" t="str">
        <f>IF(K44="","",IF(ABS(K44)&lt;=Guide!$B$33,"NEAR — watch",IF(K44&gt;0,"above price","below price")))</f>
        <v/>
      </c>
    </row>
    <row r="45" spans="1:12" x14ac:dyDescent="0.25">
      <c r="A45" s="21"/>
      <c r="B45" s="100"/>
      <c r="C45" s="100"/>
      <c r="D45" s="21"/>
      <c r="E45" s="21"/>
      <c r="F45" s="56"/>
      <c r="G45" s="56"/>
      <c r="H45" s="54"/>
      <c r="I45" s="54"/>
      <c r="J45" s="56"/>
      <c r="K45" s="101" t="str">
        <f t="shared" si="0"/>
        <v/>
      </c>
      <c r="L45" s="53" t="str">
        <f>IF(K45="","",IF(ABS(K45)&lt;=Guide!$B$33,"NEAR — watch",IF(K45&gt;0,"above price","below price")))</f>
        <v/>
      </c>
    </row>
    <row r="46" spans="1:12" x14ac:dyDescent="0.25">
      <c r="A46" s="21"/>
      <c r="B46" s="100"/>
      <c r="C46" s="100"/>
      <c r="D46" s="21"/>
      <c r="E46" s="21"/>
      <c r="F46" s="56"/>
      <c r="G46" s="56"/>
      <c r="H46" s="54"/>
      <c r="I46" s="54"/>
      <c r="J46" s="56"/>
      <c r="K46" s="101" t="str">
        <f t="shared" si="0"/>
        <v/>
      </c>
      <c r="L46" s="53" t="str">
        <f>IF(K46="","",IF(ABS(K46)&lt;=Guide!$B$33,"NEAR — watch",IF(K46&gt;0,"above price","below price")))</f>
        <v/>
      </c>
    </row>
    <row r="47" spans="1:12" x14ac:dyDescent="0.25">
      <c r="A47" s="21"/>
      <c r="B47" s="100"/>
      <c r="C47" s="100"/>
      <c r="D47" s="21"/>
      <c r="E47" s="21"/>
      <c r="F47" s="56"/>
      <c r="G47" s="56"/>
      <c r="H47" s="54"/>
      <c r="I47" s="54"/>
      <c r="J47" s="56"/>
      <c r="K47" s="101" t="str">
        <f t="shared" si="0"/>
        <v/>
      </c>
      <c r="L47" s="53" t="str">
        <f>IF(K47="","",IF(ABS(K47)&lt;=Guide!$B$33,"NEAR — watch",IF(K47&gt;0,"above price","below price")))</f>
        <v/>
      </c>
    </row>
    <row r="48" spans="1:12" x14ac:dyDescent="0.25">
      <c r="A48" s="21"/>
      <c r="B48" s="100"/>
      <c r="C48" s="100"/>
      <c r="D48" s="21"/>
      <c r="E48" s="21"/>
      <c r="F48" s="56"/>
      <c r="G48" s="56"/>
      <c r="H48" s="54"/>
      <c r="I48" s="54"/>
      <c r="J48" s="56"/>
      <c r="K48" s="101" t="str">
        <f t="shared" si="0"/>
        <v/>
      </c>
      <c r="L48" s="53" t="str">
        <f>IF(K48="","",IF(ABS(K48)&lt;=Guide!$B$33,"NEAR — watch",IF(K48&gt;0,"above price","below price")))</f>
        <v/>
      </c>
    </row>
    <row r="49" spans="1:12" x14ac:dyDescent="0.25">
      <c r="A49" s="21"/>
      <c r="B49" s="100"/>
      <c r="C49" s="100"/>
      <c r="D49" s="21"/>
      <c r="E49" s="21"/>
      <c r="F49" s="56"/>
      <c r="G49" s="56"/>
      <c r="H49" s="54"/>
      <c r="I49" s="54"/>
      <c r="J49" s="56"/>
      <c r="K49" s="101" t="str">
        <f t="shared" si="0"/>
        <v/>
      </c>
      <c r="L49" s="53" t="str">
        <f>IF(K49="","",IF(ABS(K49)&lt;=Guide!$B$33,"NEAR — watch",IF(K49&gt;0,"above price","below price")))</f>
        <v/>
      </c>
    </row>
    <row r="50" spans="1:12" x14ac:dyDescent="0.25">
      <c r="A50" s="21"/>
      <c r="B50" s="100"/>
      <c r="C50" s="100"/>
      <c r="D50" s="21"/>
      <c r="E50" s="21"/>
      <c r="F50" s="56"/>
      <c r="G50" s="56"/>
      <c r="H50" s="54"/>
      <c r="I50" s="54"/>
      <c r="J50" s="56"/>
      <c r="K50" s="101" t="str">
        <f t="shared" si="0"/>
        <v/>
      </c>
      <c r="L50" s="53" t="str">
        <f>IF(K50="","",IF(ABS(K50)&lt;=Guide!$B$33,"NEAR — watch",IF(K50&gt;0,"above price","below price")))</f>
        <v/>
      </c>
    </row>
    <row r="51" spans="1:12" x14ac:dyDescent="0.25">
      <c r="A51" s="21"/>
      <c r="B51" s="100"/>
      <c r="C51" s="100"/>
      <c r="D51" s="21"/>
      <c r="E51" s="21"/>
      <c r="F51" s="56"/>
      <c r="G51" s="56"/>
      <c r="H51" s="54"/>
      <c r="I51" s="54"/>
      <c r="J51" s="56"/>
      <c r="K51" s="101" t="str">
        <f t="shared" si="0"/>
        <v/>
      </c>
      <c r="L51" s="53" t="str">
        <f>IF(K51="","",IF(ABS(K51)&lt;=Guide!$B$33,"NEAR — watch",IF(K51&gt;0,"above price","below price")))</f>
        <v/>
      </c>
    </row>
    <row r="52" spans="1:12" x14ac:dyDescent="0.25">
      <c r="A52" s="21"/>
      <c r="B52" s="100"/>
      <c r="C52" s="100"/>
      <c r="D52" s="21"/>
      <c r="E52" s="21"/>
      <c r="F52" s="56"/>
      <c r="G52" s="56"/>
      <c r="H52" s="54"/>
      <c r="I52" s="54"/>
      <c r="J52" s="56"/>
      <c r="K52" s="101" t="str">
        <f t="shared" si="0"/>
        <v/>
      </c>
      <c r="L52" s="53" t="str">
        <f>IF(K52="","",IF(ABS(K52)&lt;=Guide!$B$33,"NEAR — watch",IF(K52&gt;0,"above price","below price")))</f>
        <v/>
      </c>
    </row>
  </sheetData>
  <autoFilter ref="A12:L52" xr:uid="{00000000-0009-0000-0000-000008000000}"/>
  <mergeCells count="2">
    <mergeCell ref="A4:C4"/>
    <mergeCell ref="E4:F4"/>
  </mergeCells>
  <conditionalFormatting sqref="D13:D52">
    <cfRule type="expression" dxfId="50" priority="3" stopIfTrue="1">
      <formula>ISNUMBER(SEARCH("Policy",D13))</formula>
    </cfRule>
    <cfRule type="expression" dxfId="49" priority="4" stopIfTrue="1">
      <formula>ISNUMBER(SEARCH("GEX",D13))</formula>
    </cfRule>
    <cfRule type="expression" dxfId="48" priority="6" stopIfTrue="1">
      <formula>ISNUMBER(SEARCH("Structural",D13))</formula>
    </cfRule>
    <cfRule type="expression" dxfId="47" priority="6" stopIfTrue="1">
      <formula>ISNUMBER(SEARCH("Session",D13))</formula>
    </cfRule>
  </conditionalFormatting>
  <conditionalFormatting sqref="E13:E52">
    <cfRule type="cellIs" dxfId="46" priority="5" operator="equal">
      <formula>3</formula>
    </cfRule>
  </conditionalFormatting>
  <conditionalFormatting sqref="L13:L52">
    <cfRule type="expression" dxfId="45" priority="2">
      <formula>ISNUMBER(SEARCH("NEAR",L13))</formula>
    </cfRule>
  </conditionalFormatting>
  <dataValidations count="3">
    <dataValidation type="list" sqref="D13:D52" xr:uid="{00000000-0002-0000-0800-000000000000}">
      <formula1>"Policy line,Options / GEX,Structural,Session"</formula1>
      <formula2>0</formula2>
    </dataValidation>
    <dataValidation type="list" sqref="A13:A52" xr:uid="{00000000-0002-0000-0800-000001000000}">
      <formula1>$A$6:$A$10</formula1>
      <formula2>0</formula2>
    </dataValidation>
    <dataValidation type="list" sqref="E13:E52" xr:uid="{00000000-0002-0000-0800-000002000000}">
      <formula1>"1,2,3"</formula1>
      <formula2>0</formula2>
    </dataValidation>
  </dataValidations>
  <hyperlinks>
    <hyperlink ref="L1" location="'Guide'!A1" display="← Guide" xr:uid="{00000000-0004-0000-0800-000000000000}"/>
  </hyperlinks>
  <pageMargins left="0.75" right="0.75" top="1" bottom="1" header="0.511811023622047" footer="0.511811023622047"/>
  <pageSetup paperSize="9" fitToHeight="0" orientation="landscape"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pageSetUpPr fitToPage="1"/>
  </sheetPr>
  <dimension ref="A1:AO205"/>
  <sheetViews>
    <sheetView showGridLines="0" tabSelected="1" zoomScaleNormal="100" workbookViewId="0">
      <pane ySplit="4" topLeftCell="A5" activePane="bottomLeft" state="frozen"/>
      <selection pane="bottomLeft" activeCell="J7" sqref="J7"/>
    </sheetView>
  </sheetViews>
  <sheetFormatPr defaultColWidth="8.7109375" defaultRowHeight="15" x14ac:dyDescent="0.25"/>
  <cols>
    <col min="1" max="1" width="11" customWidth="1"/>
    <col min="2" max="2" width="13" customWidth="1"/>
    <col min="3" max="3" width="9" customWidth="1"/>
    <col min="4" max="4" width="8" customWidth="1"/>
    <col min="5" max="5" width="11" customWidth="1"/>
    <col min="6" max="6" width="34" customWidth="1"/>
    <col min="7" max="7" width="24" customWidth="1"/>
    <col min="8" max="8" width="30" customWidth="1"/>
    <col min="9" max="9" width="26" customWidth="1"/>
    <col min="10" max="10" width="25.7109375" customWidth="1"/>
    <col min="11" max="11" width="48" customWidth="1"/>
    <col min="12" max="12" width="3" customWidth="1"/>
    <col min="13" max="13" width="7" customWidth="1"/>
    <col min="14" max="15" width="11" customWidth="1"/>
    <col min="16" max="16" width="9" customWidth="1"/>
    <col min="17" max="17" width="22" customWidth="1"/>
    <col min="18" max="18" width="9" customWidth="1"/>
    <col min="19" max="20" width="11" customWidth="1"/>
    <col min="21" max="21" width="12" customWidth="1"/>
    <col min="22" max="25" width="10" customWidth="1"/>
    <col min="26" max="28" width="9" customWidth="1"/>
    <col min="29" max="29" width="11" customWidth="1"/>
    <col min="30" max="30" width="10" customWidth="1"/>
    <col min="31" max="31" width="13" customWidth="1"/>
    <col min="32" max="32" width="10" customWidth="1"/>
    <col min="33" max="34" width="8" customWidth="1"/>
    <col min="35" max="35" width="7" customWidth="1"/>
    <col min="36" max="36" width="10" customWidth="1"/>
    <col min="37" max="37" width="12" customWidth="1"/>
    <col min="38" max="38" width="8" customWidth="1"/>
    <col min="39" max="39" width="26" customWidth="1"/>
    <col min="40" max="40" width="34" customWidth="1"/>
    <col min="41" max="41" width="14" customWidth="1"/>
  </cols>
  <sheetData>
    <row r="1" spans="1:41" ht="33.950000000000003" customHeight="1" x14ac:dyDescent="0.25">
      <c r="A1" s="2" t="s">
        <v>0</v>
      </c>
      <c r="B1" s="3"/>
      <c r="C1" s="3"/>
      <c r="D1" s="3"/>
      <c r="E1" s="3"/>
      <c r="F1" s="3"/>
      <c r="G1" s="3"/>
      <c r="H1" s="3"/>
      <c r="I1" s="3"/>
      <c r="J1" s="3"/>
      <c r="K1" s="45" t="s">
        <v>1</v>
      </c>
      <c r="M1" s="248" t="s">
        <v>2</v>
      </c>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row>
    <row r="2" spans="1:41" ht="20.100000000000001" customHeight="1" x14ac:dyDescent="0.25">
      <c r="A2" s="4" t="s">
        <v>3</v>
      </c>
      <c r="M2" s="249" t="s">
        <v>4</v>
      </c>
    </row>
    <row r="3" spans="1:41" ht="30" customHeight="1" x14ac:dyDescent="0.25">
      <c r="A3" s="7"/>
      <c r="B3" s="7"/>
      <c r="C3" s="7"/>
      <c r="D3" s="7"/>
      <c r="E3" s="7"/>
      <c r="F3" s="7"/>
      <c r="G3" s="7"/>
      <c r="H3" s="7"/>
      <c r="I3" s="7"/>
      <c r="J3" s="7"/>
      <c r="K3" s="7"/>
      <c r="M3" s="250" t="s">
        <v>5</v>
      </c>
      <c r="N3" s="251"/>
      <c r="O3" s="250" t="s">
        <v>6</v>
      </c>
      <c r="P3" s="252">
        <f>COUNTIF($AH$5:$AH$205,"WIN")+COUNTIF($AH$5:$AH$205,"LOSS")+COUNTIF($AH$5:$AH$205,"BE")</f>
        <v>0</v>
      </c>
      <c r="Q3" s="250" t="s">
        <v>7</v>
      </c>
      <c r="R3" s="253" t="str">
        <f>IFERROR(COUNTIF($AH$5:$AH$205,"WIN")/(COUNTIF($AH$5:$AH$205,"WIN")+COUNTIF($AH$5:$AH$205,"LOSS")+COUNTIF($AH$5:$AH$205,"BE")),"")</f>
        <v/>
      </c>
      <c r="S3" s="250" t="s">
        <v>8</v>
      </c>
      <c r="T3" s="254" t="str">
        <f>IFERROR(AVERAGE($AG$5:$AG$205),"")</f>
        <v/>
      </c>
      <c r="U3" s="250" t="s">
        <v>9</v>
      </c>
      <c r="V3" s="254" t="str">
        <f>IFERROR(SUMIF($AF$5:$AF$205,"&gt;0")/-SUMIF($AF$5:$AF$205,"&lt;0"),"")</f>
        <v/>
      </c>
      <c r="W3" s="250" t="s">
        <v>10</v>
      </c>
      <c r="X3" s="255">
        <f>SUM($AF$5:$AF$205)</f>
        <v>0</v>
      </c>
      <c r="Y3" s="250" t="s">
        <v>11</v>
      </c>
      <c r="Z3" s="253" t="str">
        <f>IFERROR(COUNTIFS($U$5:$U$205,"WITH",$AH$5:$AH$205,"WIN")/(COUNTIFS($U$5:$U$205,"WITH",$AH$5:$AH$205,"WIN")+COUNTIFS($U$5:$U$205,"WITH",$AH$5:$AH$205,"LOSS")+COUNTIFS($U$5:$U$205,"WITH",$AH$5:$AH$205,"BE")),"")</f>
        <v/>
      </c>
      <c r="AA3" s="250" t="s">
        <v>12</v>
      </c>
      <c r="AB3" s="253" t="str">
        <f>IFERROR((COUNTIFS($U$5:$U$205,"AGAINST",$AH$5:$AH$205,"WIN")+COUNTIFS($U$5:$U$205,"NO PERMISSION",$AH$5:$AH$205,"WIN"))/(COUNTIFS($U$5:$U$205,"&lt;&gt;WITH",$U$5:$U$205,"?*",$AH$5:$AH$205,"WIN")+COUNTIFS($U$5:$U$205,"&lt;&gt;WITH",$U$5:$U$205,"?*",$AH$5:$AH$205,"LOSS")+COUNTIFS($U$5:$U$205,"&lt;&gt;WITH",$U$5:$U$205,"?*",$AH$5:$AH$205,"BE")),"")</f>
        <v/>
      </c>
      <c r="AC3" s="250" t="s">
        <v>13</v>
      </c>
      <c r="AD3" s="253" t="str">
        <f>IFERROR(COUNTIF($AJ$5:$AJ$205,"Yes")/COUNTA($AJ$5:$AJ$205),"")</f>
        <v/>
      </c>
    </row>
    <row r="4" spans="1:41" ht="31.15" customHeight="1" x14ac:dyDescent="0.25">
      <c r="A4" s="46" t="s">
        <v>14</v>
      </c>
      <c r="B4" s="46" t="s">
        <v>15</v>
      </c>
      <c r="C4" s="46" t="s">
        <v>16</v>
      </c>
      <c r="D4" s="46" t="s">
        <v>17</v>
      </c>
      <c r="E4" s="46" t="s">
        <v>18</v>
      </c>
      <c r="F4" s="46" t="s">
        <v>19</v>
      </c>
      <c r="G4" s="46" t="s">
        <v>20</v>
      </c>
      <c r="H4" s="46" t="s">
        <v>21</v>
      </c>
      <c r="I4" s="46" t="s">
        <v>22</v>
      </c>
      <c r="J4" s="46" t="s">
        <v>23</v>
      </c>
      <c r="K4" s="46" t="s">
        <v>24</v>
      </c>
      <c r="M4" s="256" t="s">
        <v>25</v>
      </c>
      <c r="N4" s="256" t="s">
        <v>26</v>
      </c>
      <c r="O4" s="256" t="s">
        <v>15</v>
      </c>
      <c r="P4" s="256" t="s">
        <v>27</v>
      </c>
      <c r="Q4" s="256" t="s">
        <v>28</v>
      </c>
      <c r="R4" s="256" t="s">
        <v>29</v>
      </c>
      <c r="S4" s="256" t="s">
        <v>30</v>
      </c>
      <c r="T4" s="256" t="s">
        <v>31</v>
      </c>
      <c r="U4" s="256" t="s">
        <v>32</v>
      </c>
      <c r="V4" s="256" t="s">
        <v>33</v>
      </c>
      <c r="W4" s="256" t="s">
        <v>34</v>
      </c>
      <c r="X4" s="256" t="s">
        <v>35</v>
      </c>
      <c r="Y4" s="256" t="s">
        <v>36</v>
      </c>
      <c r="Z4" s="256" t="s">
        <v>37</v>
      </c>
      <c r="AA4" s="256" t="s">
        <v>38</v>
      </c>
      <c r="AB4" s="256" t="s">
        <v>39</v>
      </c>
      <c r="AC4" s="256" t="s">
        <v>40</v>
      </c>
      <c r="AD4" s="256" t="s">
        <v>41</v>
      </c>
      <c r="AE4" s="256" t="s">
        <v>42</v>
      </c>
      <c r="AF4" s="256" t="s">
        <v>43</v>
      </c>
      <c r="AG4" s="256" t="s">
        <v>44</v>
      </c>
      <c r="AH4" s="256" t="s">
        <v>45</v>
      </c>
      <c r="AI4" s="256" t="s">
        <v>46</v>
      </c>
      <c r="AJ4" s="256" t="s">
        <v>47</v>
      </c>
      <c r="AK4" s="256" t="s">
        <v>48</v>
      </c>
      <c r="AL4" s="256" t="s">
        <v>49</v>
      </c>
      <c r="AM4" s="256" t="s">
        <v>50</v>
      </c>
      <c r="AN4" s="256" t="s">
        <v>51</v>
      </c>
      <c r="AO4" s="256" t="s">
        <v>52</v>
      </c>
    </row>
    <row r="5" spans="1:41" ht="43.9" customHeight="1" x14ac:dyDescent="0.25">
      <c r="A5" s="54">
        <v>46284</v>
      </c>
      <c r="B5" s="56" t="s">
        <v>53</v>
      </c>
      <c r="C5" s="21" t="s">
        <v>54</v>
      </c>
      <c r="D5" s="21">
        <v>0</v>
      </c>
      <c r="E5" s="21" t="s">
        <v>55</v>
      </c>
      <c r="F5" s="56" t="s">
        <v>56</v>
      </c>
      <c r="G5" s="56" t="s">
        <v>57</v>
      </c>
      <c r="H5" s="56" t="s">
        <v>58</v>
      </c>
      <c r="I5" s="56"/>
      <c r="J5" s="21"/>
      <c r="K5" s="56"/>
      <c r="M5" s="257"/>
      <c r="N5" s="258"/>
      <c r="O5" s="259"/>
      <c r="P5" s="259"/>
      <c r="Q5" s="260"/>
      <c r="R5" s="259"/>
      <c r="S5" s="259"/>
      <c r="T5" s="259"/>
      <c r="U5" s="261" t="str">
        <f t="shared" ref="U5:U68" si="0">IF(OR(P5="",T5=""),"",IF(OR(AND(P5="Long",T5="LONG"),AND(P5="Short",T5="SHORT")),"WITH",IF(OR(T5="LONG",T5="SHORT"),"AGAINST","NO PERMISSION")))</f>
        <v/>
      </c>
      <c r="V5" s="259"/>
      <c r="W5" s="259"/>
      <c r="X5" s="259"/>
      <c r="Y5" s="259"/>
      <c r="Z5" s="262"/>
      <c r="AA5" s="263" t="str">
        <f t="shared" ref="AA5:AA68" si="1">IF(OR(Z5="",$N$3=""),"",Z5/$N$3)</f>
        <v/>
      </c>
      <c r="AB5" s="264" t="str">
        <f t="shared" ref="AB5:AB68" si="2">IF(COUNT(V5,W5,X5)&lt;3,"",IFERROR(ABS(X5-V5)/ABS(V5-W5),""))</f>
        <v/>
      </c>
      <c r="AC5" s="258"/>
      <c r="AD5" s="259"/>
      <c r="AE5" s="259"/>
      <c r="AF5" s="265"/>
      <c r="AG5" s="266" t="str">
        <f t="shared" ref="AG5:AG68" si="3">IF(OR(AF5="",Z5=""),"",IFERROR(AF5/Z5,""))</f>
        <v/>
      </c>
      <c r="AH5" s="261" t="str">
        <f t="shared" ref="AH5:AH68" si="4">IF(N5="","",IF(AF5="","OPEN",IF(AF5&gt;0,"WIN",IF(AF5&lt;0,"LOSS","BE"))))</f>
        <v/>
      </c>
      <c r="AI5" s="267" t="str">
        <f t="shared" ref="AI5:AI68" si="5">IF(OR(N5="",AC5=""),"",AC5-N5)</f>
        <v/>
      </c>
      <c r="AJ5" s="259"/>
      <c r="AK5" s="259"/>
      <c r="AL5" s="259"/>
      <c r="AM5" s="260"/>
      <c r="AN5" s="260"/>
      <c r="AO5" s="260"/>
    </row>
    <row r="6" spans="1:41" ht="69" customHeight="1" x14ac:dyDescent="0.25">
      <c r="A6" s="54">
        <v>46287</v>
      </c>
      <c r="B6" s="56" t="s">
        <v>59</v>
      </c>
      <c r="C6" s="21" t="s">
        <v>60</v>
      </c>
      <c r="D6" s="21"/>
      <c r="E6" s="21" t="s">
        <v>55</v>
      </c>
      <c r="F6" s="56" t="s">
        <v>61</v>
      </c>
      <c r="G6" s="56" t="s">
        <v>62</v>
      </c>
      <c r="H6" s="56" t="s">
        <v>63</v>
      </c>
      <c r="I6" s="56" t="s">
        <v>64</v>
      </c>
      <c r="J6" s="21" t="s">
        <v>65</v>
      </c>
      <c r="K6" s="56" t="s">
        <v>66</v>
      </c>
      <c r="M6" s="257"/>
      <c r="N6" s="258"/>
      <c r="O6" s="259"/>
      <c r="P6" s="259"/>
      <c r="Q6" s="260"/>
      <c r="R6" s="259"/>
      <c r="S6" s="259"/>
      <c r="T6" s="259"/>
      <c r="U6" s="261" t="str">
        <f t="shared" si="0"/>
        <v/>
      </c>
      <c r="V6" s="259"/>
      <c r="W6" s="259"/>
      <c r="X6" s="259"/>
      <c r="Y6" s="259"/>
      <c r="Z6" s="262"/>
      <c r="AA6" s="263" t="str">
        <f t="shared" si="1"/>
        <v/>
      </c>
      <c r="AB6" s="264" t="str">
        <f t="shared" si="2"/>
        <v/>
      </c>
      <c r="AC6" s="258"/>
      <c r="AD6" s="259"/>
      <c r="AE6" s="259"/>
      <c r="AF6" s="265"/>
      <c r="AG6" s="266" t="str">
        <f t="shared" si="3"/>
        <v/>
      </c>
      <c r="AH6" s="261" t="str">
        <f t="shared" si="4"/>
        <v/>
      </c>
      <c r="AI6" s="267" t="str">
        <f t="shared" si="5"/>
        <v/>
      </c>
      <c r="AJ6" s="259"/>
      <c r="AK6" s="259"/>
      <c r="AL6" s="259"/>
      <c r="AM6" s="260"/>
      <c r="AN6" s="260"/>
      <c r="AO6" s="260"/>
    </row>
    <row r="7" spans="1:41" ht="33" customHeight="1" x14ac:dyDescent="0.25">
      <c r="A7" s="54"/>
      <c r="B7" s="56"/>
      <c r="C7" s="21"/>
      <c r="D7" s="21"/>
      <c r="E7" s="21"/>
      <c r="F7" s="56"/>
      <c r="G7" s="56"/>
      <c r="H7" s="56"/>
      <c r="I7" s="56"/>
      <c r="J7" s="21"/>
      <c r="K7" s="56"/>
      <c r="M7" s="257"/>
      <c r="N7" s="258"/>
      <c r="O7" s="259"/>
      <c r="P7" s="259"/>
      <c r="Q7" s="260"/>
      <c r="R7" s="259"/>
      <c r="S7" s="259"/>
      <c r="T7" s="259"/>
      <c r="U7" s="261" t="str">
        <f t="shared" si="0"/>
        <v/>
      </c>
      <c r="V7" s="259"/>
      <c r="W7" s="259"/>
      <c r="X7" s="259"/>
      <c r="Y7" s="259"/>
      <c r="Z7" s="262"/>
      <c r="AA7" s="263" t="str">
        <f t="shared" si="1"/>
        <v/>
      </c>
      <c r="AB7" s="264" t="str">
        <f t="shared" si="2"/>
        <v/>
      </c>
      <c r="AC7" s="258"/>
      <c r="AD7" s="259"/>
      <c r="AE7" s="259"/>
      <c r="AF7" s="265"/>
      <c r="AG7" s="266" t="str">
        <f t="shared" si="3"/>
        <v/>
      </c>
      <c r="AH7" s="261" t="str">
        <f t="shared" si="4"/>
        <v/>
      </c>
      <c r="AI7" s="267" t="str">
        <f t="shared" si="5"/>
        <v/>
      </c>
      <c r="AJ7" s="259"/>
      <c r="AK7" s="259"/>
      <c r="AL7" s="259"/>
      <c r="AM7" s="260"/>
      <c r="AN7" s="260"/>
      <c r="AO7" s="260"/>
    </row>
    <row r="8" spans="1:41" ht="31.5" customHeight="1" x14ac:dyDescent="0.25">
      <c r="A8" s="54"/>
      <c r="B8" s="56"/>
      <c r="C8" s="21"/>
      <c r="D8" s="21"/>
      <c r="E8" s="21"/>
      <c r="F8" s="56"/>
      <c r="G8" s="56"/>
      <c r="H8" s="56"/>
      <c r="I8" s="56"/>
      <c r="J8" s="21"/>
      <c r="K8" s="56"/>
      <c r="M8" s="257"/>
      <c r="N8" s="258"/>
      <c r="O8" s="259"/>
      <c r="P8" s="259"/>
      <c r="Q8" s="260"/>
      <c r="R8" s="259"/>
      <c r="S8" s="259"/>
      <c r="T8" s="259"/>
      <c r="U8" s="261" t="str">
        <f t="shared" si="0"/>
        <v/>
      </c>
      <c r="V8" s="259"/>
      <c r="W8" s="259"/>
      <c r="X8" s="259"/>
      <c r="Y8" s="259"/>
      <c r="Z8" s="262"/>
      <c r="AA8" s="263" t="str">
        <f t="shared" si="1"/>
        <v/>
      </c>
      <c r="AB8" s="264" t="str">
        <f t="shared" si="2"/>
        <v/>
      </c>
      <c r="AC8" s="258"/>
      <c r="AD8" s="259"/>
      <c r="AE8" s="259"/>
      <c r="AF8" s="265"/>
      <c r="AG8" s="266" t="str">
        <f t="shared" si="3"/>
        <v/>
      </c>
      <c r="AH8" s="261" t="str">
        <f t="shared" si="4"/>
        <v/>
      </c>
      <c r="AI8" s="267" t="str">
        <f t="shared" si="5"/>
        <v/>
      </c>
      <c r="AJ8" s="259"/>
      <c r="AK8" s="259"/>
      <c r="AL8" s="259"/>
      <c r="AM8" s="260"/>
      <c r="AN8" s="260"/>
      <c r="AO8" s="260"/>
    </row>
    <row r="9" spans="1:41" ht="26.25" customHeight="1" x14ac:dyDescent="0.25">
      <c r="A9" s="54"/>
      <c r="B9" s="56"/>
      <c r="C9" s="21"/>
      <c r="D9" s="21"/>
      <c r="E9" s="21"/>
      <c r="F9" s="56"/>
      <c r="G9" s="56"/>
      <c r="H9" s="56"/>
      <c r="I9" s="56"/>
      <c r="J9" s="21"/>
      <c r="K9" s="56"/>
      <c r="M9" s="257"/>
      <c r="N9" s="258"/>
      <c r="O9" s="259"/>
      <c r="P9" s="259"/>
      <c r="Q9" s="260"/>
      <c r="R9" s="259"/>
      <c r="S9" s="259"/>
      <c r="T9" s="259"/>
      <c r="U9" s="261" t="str">
        <f t="shared" si="0"/>
        <v/>
      </c>
      <c r="V9" s="259"/>
      <c r="W9" s="259"/>
      <c r="X9" s="259"/>
      <c r="Y9" s="259"/>
      <c r="Z9" s="262"/>
      <c r="AA9" s="263" t="str">
        <f t="shared" si="1"/>
        <v/>
      </c>
      <c r="AB9" s="264" t="str">
        <f t="shared" si="2"/>
        <v/>
      </c>
      <c r="AC9" s="258"/>
      <c r="AD9" s="259"/>
      <c r="AE9" s="259"/>
      <c r="AF9" s="265"/>
      <c r="AG9" s="266" t="str">
        <f t="shared" si="3"/>
        <v/>
      </c>
      <c r="AH9" s="261" t="str">
        <f t="shared" si="4"/>
        <v/>
      </c>
      <c r="AI9" s="267" t="str">
        <f t="shared" si="5"/>
        <v/>
      </c>
      <c r="AJ9" s="259"/>
      <c r="AK9" s="259"/>
      <c r="AL9" s="259"/>
      <c r="AM9" s="260"/>
      <c r="AN9" s="260"/>
      <c r="AO9" s="260"/>
    </row>
    <row r="10" spans="1:41" ht="26.25" customHeight="1" x14ac:dyDescent="0.25">
      <c r="A10" s="54"/>
      <c r="B10" s="56"/>
      <c r="C10" s="21"/>
      <c r="D10" s="21"/>
      <c r="E10" s="21"/>
      <c r="F10" s="56"/>
      <c r="G10" s="56"/>
      <c r="H10" s="56"/>
      <c r="I10" s="56"/>
      <c r="J10" s="21"/>
      <c r="K10" s="56"/>
      <c r="M10" s="257"/>
      <c r="N10" s="258"/>
      <c r="O10" s="259"/>
      <c r="P10" s="259"/>
      <c r="Q10" s="260"/>
      <c r="R10" s="259"/>
      <c r="S10" s="259"/>
      <c r="T10" s="259"/>
      <c r="U10" s="261" t="str">
        <f t="shared" si="0"/>
        <v/>
      </c>
      <c r="V10" s="259"/>
      <c r="W10" s="259"/>
      <c r="X10" s="259"/>
      <c r="Y10" s="259"/>
      <c r="Z10" s="262"/>
      <c r="AA10" s="263" t="str">
        <f t="shared" si="1"/>
        <v/>
      </c>
      <c r="AB10" s="264" t="str">
        <f t="shared" si="2"/>
        <v/>
      </c>
      <c r="AC10" s="258"/>
      <c r="AD10" s="259"/>
      <c r="AE10" s="259"/>
      <c r="AF10" s="265"/>
      <c r="AG10" s="266" t="str">
        <f t="shared" si="3"/>
        <v/>
      </c>
      <c r="AH10" s="261" t="str">
        <f t="shared" si="4"/>
        <v/>
      </c>
      <c r="AI10" s="267" t="str">
        <f t="shared" si="5"/>
        <v/>
      </c>
      <c r="AJ10" s="259"/>
      <c r="AK10" s="259"/>
      <c r="AL10" s="259"/>
      <c r="AM10" s="260"/>
      <c r="AN10" s="260"/>
      <c r="AO10" s="260"/>
    </row>
    <row r="11" spans="1:41" ht="23.25" customHeight="1" x14ac:dyDescent="0.25">
      <c r="A11" s="54"/>
      <c r="B11" s="56"/>
      <c r="C11" s="21"/>
      <c r="D11" s="21"/>
      <c r="E11" s="21"/>
      <c r="F11" s="56"/>
      <c r="G11" s="56"/>
      <c r="H11" s="56"/>
      <c r="I11" s="56"/>
      <c r="J11" s="21"/>
      <c r="K11" s="56"/>
      <c r="M11" s="257"/>
      <c r="N11" s="258"/>
      <c r="O11" s="259"/>
      <c r="P11" s="259"/>
      <c r="Q11" s="260"/>
      <c r="R11" s="259"/>
      <c r="S11" s="259"/>
      <c r="T11" s="259"/>
      <c r="U11" s="261" t="str">
        <f t="shared" si="0"/>
        <v/>
      </c>
      <c r="V11" s="259"/>
      <c r="W11" s="259"/>
      <c r="X11" s="259"/>
      <c r="Y11" s="259"/>
      <c r="Z11" s="262"/>
      <c r="AA11" s="263" t="str">
        <f t="shared" si="1"/>
        <v/>
      </c>
      <c r="AB11" s="264" t="str">
        <f t="shared" si="2"/>
        <v/>
      </c>
      <c r="AC11" s="258"/>
      <c r="AD11" s="259"/>
      <c r="AE11" s="259"/>
      <c r="AF11" s="265"/>
      <c r="AG11" s="266" t="str">
        <f t="shared" si="3"/>
        <v/>
      </c>
      <c r="AH11" s="261" t="str">
        <f t="shared" si="4"/>
        <v/>
      </c>
      <c r="AI11" s="267" t="str">
        <f t="shared" si="5"/>
        <v/>
      </c>
      <c r="AJ11" s="259"/>
      <c r="AK11" s="259"/>
      <c r="AL11" s="259"/>
      <c r="AM11" s="260"/>
      <c r="AN11" s="260"/>
      <c r="AO11" s="260"/>
    </row>
    <row r="12" spans="1:41" x14ac:dyDescent="0.25">
      <c r="A12" s="54"/>
      <c r="B12" s="56"/>
      <c r="C12" s="21"/>
      <c r="D12" s="21"/>
      <c r="E12" s="21"/>
      <c r="F12" s="56"/>
      <c r="G12" s="56"/>
      <c r="H12" s="56"/>
      <c r="I12" s="56"/>
      <c r="J12" s="21"/>
      <c r="K12" s="56"/>
      <c r="M12" s="257"/>
      <c r="N12" s="258"/>
      <c r="O12" s="259"/>
      <c r="P12" s="259"/>
      <c r="Q12" s="260"/>
      <c r="R12" s="259"/>
      <c r="S12" s="259"/>
      <c r="T12" s="259"/>
      <c r="U12" s="261" t="str">
        <f t="shared" si="0"/>
        <v/>
      </c>
      <c r="V12" s="259"/>
      <c r="W12" s="259"/>
      <c r="X12" s="259"/>
      <c r="Y12" s="259"/>
      <c r="Z12" s="262"/>
      <c r="AA12" s="263" t="str">
        <f t="shared" si="1"/>
        <v/>
      </c>
      <c r="AB12" s="264" t="str">
        <f t="shared" si="2"/>
        <v/>
      </c>
      <c r="AC12" s="258"/>
      <c r="AD12" s="259"/>
      <c r="AE12" s="259"/>
      <c r="AF12" s="265"/>
      <c r="AG12" s="266" t="str">
        <f t="shared" si="3"/>
        <v/>
      </c>
      <c r="AH12" s="261" t="str">
        <f t="shared" si="4"/>
        <v/>
      </c>
      <c r="AI12" s="267" t="str">
        <f t="shared" si="5"/>
        <v/>
      </c>
      <c r="AJ12" s="259"/>
      <c r="AK12" s="259"/>
      <c r="AL12" s="259"/>
      <c r="AM12" s="260"/>
      <c r="AN12" s="260"/>
      <c r="AO12" s="260"/>
    </row>
    <row r="13" spans="1:41" x14ac:dyDescent="0.25">
      <c r="A13" s="54"/>
      <c r="B13" s="56"/>
      <c r="C13" s="21"/>
      <c r="D13" s="21"/>
      <c r="E13" s="21"/>
      <c r="F13" s="56"/>
      <c r="G13" s="56"/>
      <c r="H13" s="56"/>
      <c r="I13" s="56"/>
      <c r="J13" s="21"/>
      <c r="K13" s="56"/>
      <c r="M13" s="257"/>
      <c r="N13" s="258"/>
      <c r="O13" s="259"/>
      <c r="P13" s="259"/>
      <c r="Q13" s="260"/>
      <c r="R13" s="259"/>
      <c r="S13" s="259"/>
      <c r="T13" s="259"/>
      <c r="U13" s="261" t="str">
        <f t="shared" si="0"/>
        <v/>
      </c>
      <c r="V13" s="259"/>
      <c r="W13" s="259"/>
      <c r="X13" s="259"/>
      <c r="Y13" s="259"/>
      <c r="Z13" s="262"/>
      <c r="AA13" s="263" t="str">
        <f t="shared" si="1"/>
        <v/>
      </c>
      <c r="AB13" s="264" t="str">
        <f t="shared" si="2"/>
        <v/>
      </c>
      <c r="AC13" s="258"/>
      <c r="AD13" s="259"/>
      <c r="AE13" s="259"/>
      <c r="AF13" s="265"/>
      <c r="AG13" s="266" t="str">
        <f t="shared" si="3"/>
        <v/>
      </c>
      <c r="AH13" s="261" t="str">
        <f t="shared" si="4"/>
        <v/>
      </c>
      <c r="AI13" s="267" t="str">
        <f t="shared" si="5"/>
        <v/>
      </c>
      <c r="AJ13" s="259"/>
      <c r="AK13" s="259"/>
      <c r="AL13" s="259"/>
      <c r="AM13" s="260"/>
      <c r="AN13" s="260"/>
      <c r="AO13" s="260"/>
    </row>
    <row r="14" spans="1:41" x14ac:dyDescent="0.25">
      <c r="A14" s="54"/>
      <c r="B14" s="56"/>
      <c r="C14" s="21"/>
      <c r="D14" s="21"/>
      <c r="E14" s="21"/>
      <c r="F14" s="56"/>
      <c r="G14" s="56"/>
      <c r="H14" s="56"/>
      <c r="I14" s="56"/>
      <c r="J14" s="21"/>
      <c r="K14" s="56"/>
      <c r="M14" s="257"/>
      <c r="N14" s="258"/>
      <c r="O14" s="259"/>
      <c r="P14" s="259"/>
      <c r="Q14" s="260"/>
      <c r="R14" s="259"/>
      <c r="S14" s="259"/>
      <c r="T14" s="259"/>
      <c r="U14" s="261" t="str">
        <f t="shared" si="0"/>
        <v/>
      </c>
      <c r="V14" s="259"/>
      <c r="W14" s="259"/>
      <c r="X14" s="259"/>
      <c r="Y14" s="259"/>
      <c r="Z14" s="262"/>
      <c r="AA14" s="263" t="str">
        <f t="shared" si="1"/>
        <v/>
      </c>
      <c r="AB14" s="264" t="str">
        <f t="shared" si="2"/>
        <v/>
      </c>
      <c r="AC14" s="258"/>
      <c r="AD14" s="259"/>
      <c r="AE14" s="259"/>
      <c r="AF14" s="265"/>
      <c r="AG14" s="266" t="str">
        <f t="shared" si="3"/>
        <v/>
      </c>
      <c r="AH14" s="261" t="str">
        <f t="shared" si="4"/>
        <v/>
      </c>
      <c r="AI14" s="267" t="str">
        <f t="shared" si="5"/>
        <v/>
      </c>
      <c r="AJ14" s="259"/>
      <c r="AK14" s="259"/>
      <c r="AL14" s="259"/>
      <c r="AM14" s="260"/>
      <c r="AN14" s="260"/>
      <c r="AO14" s="260"/>
    </row>
    <row r="15" spans="1:41" x14ac:dyDescent="0.25">
      <c r="A15" s="54"/>
      <c r="B15" s="56"/>
      <c r="C15" s="21"/>
      <c r="D15" s="21"/>
      <c r="E15" s="21"/>
      <c r="F15" s="56"/>
      <c r="G15" s="56"/>
      <c r="H15" s="56"/>
      <c r="I15" s="56"/>
      <c r="J15" s="21"/>
      <c r="K15" s="56"/>
      <c r="M15" s="257"/>
      <c r="N15" s="258"/>
      <c r="O15" s="259"/>
      <c r="P15" s="259"/>
      <c r="Q15" s="260"/>
      <c r="R15" s="259"/>
      <c r="S15" s="259"/>
      <c r="T15" s="259"/>
      <c r="U15" s="261" t="str">
        <f t="shared" si="0"/>
        <v/>
      </c>
      <c r="V15" s="259"/>
      <c r="W15" s="259"/>
      <c r="X15" s="259"/>
      <c r="Y15" s="259"/>
      <c r="Z15" s="262"/>
      <c r="AA15" s="263" t="str">
        <f t="shared" si="1"/>
        <v/>
      </c>
      <c r="AB15" s="264" t="str">
        <f t="shared" si="2"/>
        <v/>
      </c>
      <c r="AC15" s="258"/>
      <c r="AD15" s="259"/>
      <c r="AE15" s="259"/>
      <c r="AF15" s="265"/>
      <c r="AG15" s="266" t="str">
        <f t="shared" si="3"/>
        <v/>
      </c>
      <c r="AH15" s="261" t="str">
        <f t="shared" si="4"/>
        <v/>
      </c>
      <c r="AI15" s="267" t="str">
        <f t="shared" si="5"/>
        <v/>
      </c>
      <c r="AJ15" s="259"/>
      <c r="AK15" s="259"/>
      <c r="AL15" s="259"/>
      <c r="AM15" s="260"/>
      <c r="AN15" s="260"/>
      <c r="AO15" s="260"/>
    </row>
    <row r="16" spans="1:41" x14ac:dyDescent="0.25">
      <c r="A16" s="54"/>
      <c r="B16" s="56"/>
      <c r="C16" s="21"/>
      <c r="D16" s="21"/>
      <c r="E16" s="21"/>
      <c r="F16" s="56"/>
      <c r="G16" s="56"/>
      <c r="H16" s="56"/>
      <c r="I16" s="56"/>
      <c r="J16" s="21"/>
      <c r="K16" s="56"/>
      <c r="M16" s="257"/>
      <c r="N16" s="258"/>
      <c r="O16" s="259"/>
      <c r="P16" s="259"/>
      <c r="Q16" s="260"/>
      <c r="R16" s="259"/>
      <c r="S16" s="259"/>
      <c r="T16" s="259"/>
      <c r="U16" s="261" t="str">
        <f t="shared" si="0"/>
        <v/>
      </c>
      <c r="V16" s="259"/>
      <c r="W16" s="259"/>
      <c r="X16" s="259"/>
      <c r="Y16" s="259"/>
      <c r="Z16" s="262"/>
      <c r="AA16" s="263" t="str">
        <f t="shared" si="1"/>
        <v/>
      </c>
      <c r="AB16" s="264" t="str">
        <f t="shared" si="2"/>
        <v/>
      </c>
      <c r="AC16" s="258"/>
      <c r="AD16" s="259"/>
      <c r="AE16" s="259"/>
      <c r="AF16" s="265"/>
      <c r="AG16" s="266" t="str">
        <f t="shared" si="3"/>
        <v/>
      </c>
      <c r="AH16" s="261" t="str">
        <f t="shared" si="4"/>
        <v/>
      </c>
      <c r="AI16" s="267" t="str">
        <f t="shared" si="5"/>
        <v/>
      </c>
      <c r="AJ16" s="259"/>
      <c r="AK16" s="259"/>
      <c r="AL16" s="259"/>
      <c r="AM16" s="260"/>
      <c r="AN16" s="260"/>
      <c r="AO16" s="260"/>
    </row>
    <row r="17" spans="1:41" x14ac:dyDescent="0.25">
      <c r="A17" s="54"/>
      <c r="B17" s="56"/>
      <c r="C17" s="21"/>
      <c r="D17" s="21"/>
      <c r="E17" s="21"/>
      <c r="F17" s="56"/>
      <c r="G17" s="56"/>
      <c r="H17" s="56"/>
      <c r="I17" s="56"/>
      <c r="J17" s="21"/>
      <c r="K17" s="56"/>
      <c r="M17" s="257"/>
      <c r="N17" s="258"/>
      <c r="O17" s="259"/>
      <c r="P17" s="259"/>
      <c r="Q17" s="260"/>
      <c r="R17" s="259"/>
      <c r="S17" s="259"/>
      <c r="T17" s="259"/>
      <c r="U17" s="261" t="str">
        <f t="shared" si="0"/>
        <v/>
      </c>
      <c r="V17" s="259"/>
      <c r="W17" s="259"/>
      <c r="X17" s="259"/>
      <c r="Y17" s="259"/>
      <c r="Z17" s="262"/>
      <c r="AA17" s="263" t="str">
        <f t="shared" si="1"/>
        <v/>
      </c>
      <c r="AB17" s="264" t="str">
        <f t="shared" si="2"/>
        <v/>
      </c>
      <c r="AC17" s="258"/>
      <c r="AD17" s="259"/>
      <c r="AE17" s="259"/>
      <c r="AF17" s="265"/>
      <c r="AG17" s="266" t="str">
        <f t="shared" si="3"/>
        <v/>
      </c>
      <c r="AH17" s="261" t="str">
        <f t="shared" si="4"/>
        <v/>
      </c>
      <c r="AI17" s="267" t="str">
        <f t="shared" si="5"/>
        <v/>
      </c>
      <c r="AJ17" s="259"/>
      <c r="AK17" s="259"/>
      <c r="AL17" s="259"/>
      <c r="AM17" s="260"/>
      <c r="AN17" s="260"/>
      <c r="AO17" s="260"/>
    </row>
    <row r="18" spans="1:41" x14ac:dyDescent="0.25">
      <c r="A18" s="54"/>
      <c r="B18" s="56"/>
      <c r="C18" s="21"/>
      <c r="D18" s="21"/>
      <c r="E18" s="21"/>
      <c r="F18" s="56"/>
      <c r="G18" s="56"/>
      <c r="H18" s="56"/>
      <c r="I18" s="56"/>
      <c r="J18" s="21"/>
      <c r="K18" s="56"/>
      <c r="M18" s="257"/>
      <c r="N18" s="258"/>
      <c r="O18" s="259"/>
      <c r="P18" s="259"/>
      <c r="Q18" s="260"/>
      <c r="R18" s="259"/>
      <c r="S18" s="259"/>
      <c r="T18" s="259"/>
      <c r="U18" s="261" t="str">
        <f t="shared" si="0"/>
        <v/>
      </c>
      <c r="V18" s="259"/>
      <c r="W18" s="259"/>
      <c r="X18" s="259"/>
      <c r="Y18" s="259"/>
      <c r="Z18" s="262"/>
      <c r="AA18" s="263" t="str">
        <f t="shared" si="1"/>
        <v/>
      </c>
      <c r="AB18" s="264" t="str">
        <f t="shared" si="2"/>
        <v/>
      </c>
      <c r="AC18" s="258"/>
      <c r="AD18" s="259"/>
      <c r="AE18" s="259"/>
      <c r="AF18" s="265"/>
      <c r="AG18" s="266" t="str">
        <f t="shared" si="3"/>
        <v/>
      </c>
      <c r="AH18" s="261" t="str">
        <f t="shared" si="4"/>
        <v/>
      </c>
      <c r="AI18" s="267" t="str">
        <f t="shared" si="5"/>
        <v/>
      </c>
      <c r="AJ18" s="259"/>
      <c r="AK18" s="259"/>
      <c r="AL18" s="259"/>
      <c r="AM18" s="260"/>
      <c r="AN18" s="260"/>
      <c r="AO18" s="260"/>
    </row>
    <row r="19" spans="1:41" x14ac:dyDescent="0.25">
      <c r="A19" s="54"/>
      <c r="B19" s="56"/>
      <c r="C19" s="21"/>
      <c r="D19" s="21"/>
      <c r="E19" s="21"/>
      <c r="F19" s="56"/>
      <c r="G19" s="56"/>
      <c r="H19" s="56"/>
      <c r="I19" s="56"/>
      <c r="J19" s="21"/>
      <c r="K19" s="56"/>
      <c r="M19" s="257"/>
      <c r="N19" s="258"/>
      <c r="O19" s="259"/>
      <c r="P19" s="259"/>
      <c r="Q19" s="260"/>
      <c r="R19" s="259"/>
      <c r="S19" s="259"/>
      <c r="T19" s="259"/>
      <c r="U19" s="261" t="str">
        <f t="shared" si="0"/>
        <v/>
      </c>
      <c r="V19" s="259"/>
      <c r="W19" s="259"/>
      <c r="X19" s="259"/>
      <c r="Y19" s="259"/>
      <c r="Z19" s="262"/>
      <c r="AA19" s="263" t="str">
        <f t="shared" si="1"/>
        <v/>
      </c>
      <c r="AB19" s="264" t="str">
        <f t="shared" si="2"/>
        <v/>
      </c>
      <c r="AC19" s="258"/>
      <c r="AD19" s="259"/>
      <c r="AE19" s="259"/>
      <c r="AF19" s="265"/>
      <c r="AG19" s="266" t="str">
        <f t="shared" si="3"/>
        <v/>
      </c>
      <c r="AH19" s="261" t="str">
        <f t="shared" si="4"/>
        <v/>
      </c>
      <c r="AI19" s="267" t="str">
        <f t="shared" si="5"/>
        <v/>
      </c>
      <c r="AJ19" s="259"/>
      <c r="AK19" s="259"/>
      <c r="AL19" s="259"/>
      <c r="AM19" s="260"/>
      <c r="AN19" s="260"/>
      <c r="AO19" s="260"/>
    </row>
    <row r="20" spans="1:41" x14ac:dyDescent="0.25">
      <c r="A20" s="54"/>
      <c r="B20" s="56"/>
      <c r="C20" s="21"/>
      <c r="D20" s="21"/>
      <c r="E20" s="21"/>
      <c r="F20" s="56"/>
      <c r="G20" s="56"/>
      <c r="H20" s="56"/>
      <c r="I20" s="56"/>
      <c r="J20" s="21"/>
      <c r="K20" s="56"/>
      <c r="M20" s="257"/>
      <c r="N20" s="258"/>
      <c r="O20" s="259"/>
      <c r="P20" s="259"/>
      <c r="Q20" s="260"/>
      <c r="R20" s="259"/>
      <c r="S20" s="259"/>
      <c r="T20" s="259"/>
      <c r="U20" s="261" t="str">
        <f t="shared" si="0"/>
        <v/>
      </c>
      <c r="V20" s="259"/>
      <c r="W20" s="259"/>
      <c r="X20" s="259"/>
      <c r="Y20" s="259"/>
      <c r="Z20" s="262"/>
      <c r="AA20" s="263" t="str">
        <f t="shared" si="1"/>
        <v/>
      </c>
      <c r="AB20" s="264" t="str">
        <f t="shared" si="2"/>
        <v/>
      </c>
      <c r="AC20" s="258"/>
      <c r="AD20" s="259"/>
      <c r="AE20" s="259"/>
      <c r="AF20" s="265"/>
      <c r="AG20" s="266" t="str">
        <f t="shared" si="3"/>
        <v/>
      </c>
      <c r="AH20" s="261" t="str">
        <f t="shared" si="4"/>
        <v/>
      </c>
      <c r="AI20" s="267" t="str">
        <f t="shared" si="5"/>
        <v/>
      </c>
      <c r="AJ20" s="259"/>
      <c r="AK20" s="259"/>
      <c r="AL20" s="259"/>
      <c r="AM20" s="260"/>
      <c r="AN20" s="260"/>
      <c r="AO20" s="260"/>
    </row>
    <row r="21" spans="1:41" x14ac:dyDescent="0.25">
      <c r="A21" s="54"/>
      <c r="B21" s="56"/>
      <c r="C21" s="21"/>
      <c r="D21" s="21"/>
      <c r="E21" s="21"/>
      <c r="F21" s="56"/>
      <c r="G21" s="56"/>
      <c r="H21" s="56"/>
      <c r="I21" s="56"/>
      <c r="J21" s="21"/>
      <c r="K21" s="56"/>
      <c r="M21" s="257"/>
      <c r="N21" s="258"/>
      <c r="O21" s="259"/>
      <c r="P21" s="259"/>
      <c r="Q21" s="260"/>
      <c r="R21" s="259"/>
      <c r="S21" s="259"/>
      <c r="T21" s="259"/>
      <c r="U21" s="261" t="str">
        <f t="shared" si="0"/>
        <v/>
      </c>
      <c r="V21" s="259"/>
      <c r="W21" s="259"/>
      <c r="X21" s="259"/>
      <c r="Y21" s="259"/>
      <c r="Z21" s="262"/>
      <c r="AA21" s="263" t="str">
        <f t="shared" si="1"/>
        <v/>
      </c>
      <c r="AB21" s="264" t="str">
        <f t="shared" si="2"/>
        <v/>
      </c>
      <c r="AC21" s="258"/>
      <c r="AD21" s="259"/>
      <c r="AE21" s="259"/>
      <c r="AF21" s="265"/>
      <c r="AG21" s="266" t="str">
        <f t="shared" si="3"/>
        <v/>
      </c>
      <c r="AH21" s="261" t="str">
        <f t="shared" si="4"/>
        <v/>
      </c>
      <c r="AI21" s="267" t="str">
        <f t="shared" si="5"/>
        <v/>
      </c>
      <c r="AJ21" s="259"/>
      <c r="AK21" s="259"/>
      <c r="AL21" s="259"/>
      <c r="AM21" s="260"/>
      <c r="AN21" s="260"/>
      <c r="AO21" s="260"/>
    </row>
    <row r="22" spans="1:41" x14ac:dyDescent="0.25">
      <c r="A22" s="54"/>
      <c r="B22" s="56"/>
      <c r="C22" s="21"/>
      <c r="D22" s="21"/>
      <c r="E22" s="21"/>
      <c r="F22" s="56"/>
      <c r="G22" s="56"/>
      <c r="H22" s="56"/>
      <c r="I22" s="56"/>
      <c r="J22" s="21"/>
      <c r="K22" s="56"/>
      <c r="M22" s="257"/>
      <c r="N22" s="258"/>
      <c r="O22" s="259"/>
      <c r="P22" s="259"/>
      <c r="Q22" s="260"/>
      <c r="R22" s="259"/>
      <c r="S22" s="259"/>
      <c r="T22" s="259"/>
      <c r="U22" s="261" t="str">
        <f t="shared" si="0"/>
        <v/>
      </c>
      <c r="V22" s="259"/>
      <c r="W22" s="259"/>
      <c r="X22" s="259"/>
      <c r="Y22" s="259"/>
      <c r="Z22" s="262"/>
      <c r="AA22" s="263" t="str">
        <f t="shared" si="1"/>
        <v/>
      </c>
      <c r="AB22" s="264" t="str">
        <f t="shared" si="2"/>
        <v/>
      </c>
      <c r="AC22" s="258"/>
      <c r="AD22" s="259"/>
      <c r="AE22" s="259"/>
      <c r="AF22" s="265"/>
      <c r="AG22" s="266" t="str">
        <f t="shared" si="3"/>
        <v/>
      </c>
      <c r="AH22" s="261" t="str">
        <f t="shared" si="4"/>
        <v/>
      </c>
      <c r="AI22" s="267" t="str">
        <f t="shared" si="5"/>
        <v/>
      </c>
      <c r="AJ22" s="259"/>
      <c r="AK22" s="259"/>
      <c r="AL22" s="259"/>
      <c r="AM22" s="260"/>
      <c r="AN22" s="260"/>
      <c r="AO22" s="260"/>
    </row>
    <row r="23" spans="1:41" x14ac:dyDescent="0.25">
      <c r="A23" s="54"/>
      <c r="B23" s="56"/>
      <c r="C23" s="21"/>
      <c r="D23" s="21"/>
      <c r="E23" s="21"/>
      <c r="F23" s="56"/>
      <c r="G23" s="56"/>
      <c r="H23" s="56"/>
      <c r="I23" s="56"/>
      <c r="J23" s="21"/>
      <c r="K23" s="56"/>
      <c r="M23" s="257"/>
      <c r="N23" s="258"/>
      <c r="O23" s="259"/>
      <c r="P23" s="259"/>
      <c r="Q23" s="260"/>
      <c r="R23" s="259"/>
      <c r="S23" s="259"/>
      <c r="T23" s="259"/>
      <c r="U23" s="261" t="str">
        <f t="shared" si="0"/>
        <v/>
      </c>
      <c r="V23" s="259"/>
      <c r="W23" s="259"/>
      <c r="X23" s="259"/>
      <c r="Y23" s="259"/>
      <c r="Z23" s="262"/>
      <c r="AA23" s="263" t="str">
        <f t="shared" si="1"/>
        <v/>
      </c>
      <c r="AB23" s="264" t="str">
        <f t="shared" si="2"/>
        <v/>
      </c>
      <c r="AC23" s="258"/>
      <c r="AD23" s="259"/>
      <c r="AE23" s="259"/>
      <c r="AF23" s="265"/>
      <c r="AG23" s="266" t="str">
        <f t="shared" si="3"/>
        <v/>
      </c>
      <c r="AH23" s="261" t="str">
        <f t="shared" si="4"/>
        <v/>
      </c>
      <c r="AI23" s="267" t="str">
        <f t="shared" si="5"/>
        <v/>
      </c>
      <c r="AJ23" s="259"/>
      <c r="AK23" s="259"/>
      <c r="AL23" s="259"/>
      <c r="AM23" s="260"/>
      <c r="AN23" s="260"/>
      <c r="AO23" s="260"/>
    </row>
    <row r="24" spans="1:41" x14ac:dyDescent="0.25">
      <c r="A24" s="54"/>
      <c r="B24" s="56"/>
      <c r="C24" s="21"/>
      <c r="D24" s="21"/>
      <c r="E24" s="21"/>
      <c r="F24" s="56"/>
      <c r="G24" s="56"/>
      <c r="H24" s="56"/>
      <c r="I24" s="56"/>
      <c r="J24" s="21"/>
      <c r="K24" s="56"/>
      <c r="M24" s="257"/>
      <c r="N24" s="258"/>
      <c r="O24" s="259"/>
      <c r="P24" s="259"/>
      <c r="Q24" s="260"/>
      <c r="R24" s="259"/>
      <c r="S24" s="259"/>
      <c r="T24" s="259"/>
      <c r="U24" s="261" t="str">
        <f t="shared" si="0"/>
        <v/>
      </c>
      <c r="V24" s="259"/>
      <c r="W24" s="259"/>
      <c r="X24" s="259"/>
      <c r="Y24" s="259"/>
      <c r="Z24" s="262"/>
      <c r="AA24" s="263" t="str">
        <f t="shared" si="1"/>
        <v/>
      </c>
      <c r="AB24" s="264" t="str">
        <f t="shared" si="2"/>
        <v/>
      </c>
      <c r="AC24" s="258"/>
      <c r="AD24" s="259"/>
      <c r="AE24" s="259"/>
      <c r="AF24" s="265"/>
      <c r="AG24" s="266" t="str">
        <f t="shared" si="3"/>
        <v/>
      </c>
      <c r="AH24" s="261" t="str">
        <f t="shared" si="4"/>
        <v/>
      </c>
      <c r="AI24" s="267" t="str">
        <f t="shared" si="5"/>
        <v/>
      </c>
      <c r="AJ24" s="259"/>
      <c r="AK24" s="259"/>
      <c r="AL24" s="259"/>
      <c r="AM24" s="260"/>
      <c r="AN24" s="260"/>
      <c r="AO24" s="260"/>
    </row>
    <row r="25" spans="1:41" x14ac:dyDescent="0.25">
      <c r="A25" s="54"/>
      <c r="B25" s="56"/>
      <c r="C25" s="21"/>
      <c r="D25" s="21"/>
      <c r="E25" s="21"/>
      <c r="F25" s="56"/>
      <c r="G25" s="56"/>
      <c r="H25" s="56"/>
      <c r="I25" s="56"/>
      <c r="J25" s="21"/>
      <c r="K25" s="56"/>
      <c r="M25" s="257"/>
      <c r="N25" s="258"/>
      <c r="O25" s="259"/>
      <c r="P25" s="259"/>
      <c r="Q25" s="260"/>
      <c r="R25" s="259"/>
      <c r="S25" s="259"/>
      <c r="T25" s="259"/>
      <c r="U25" s="261" t="str">
        <f t="shared" si="0"/>
        <v/>
      </c>
      <c r="V25" s="259"/>
      <c r="W25" s="259"/>
      <c r="X25" s="259"/>
      <c r="Y25" s="259"/>
      <c r="Z25" s="262"/>
      <c r="AA25" s="263" t="str">
        <f t="shared" si="1"/>
        <v/>
      </c>
      <c r="AB25" s="264" t="str">
        <f t="shared" si="2"/>
        <v/>
      </c>
      <c r="AC25" s="258"/>
      <c r="AD25" s="259"/>
      <c r="AE25" s="259"/>
      <c r="AF25" s="265"/>
      <c r="AG25" s="266" t="str">
        <f t="shared" si="3"/>
        <v/>
      </c>
      <c r="AH25" s="261" t="str">
        <f t="shared" si="4"/>
        <v/>
      </c>
      <c r="AI25" s="267" t="str">
        <f t="shared" si="5"/>
        <v/>
      </c>
      <c r="AJ25" s="259"/>
      <c r="AK25" s="259"/>
      <c r="AL25" s="259"/>
      <c r="AM25" s="260"/>
      <c r="AN25" s="260"/>
      <c r="AO25" s="260"/>
    </row>
    <row r="26" spans="1:41" x14ac:dyDescent="0.25">
      <c r="A26" s="54"/>
      <c r="B26" s="56"/>
      <c r="C26" s="21"/>
      <c r="D26" s="21"/>
      <c r="E26" s="21"/>
      <c r="F26" s="56"/>
      <c r="G26" s="56"/>
      <c r="H26" s="56"/>
      <c r="I26" s="56"/>
      <c r="J26" s="21"/>
      <c r="K26" s="56"/>
      <c r="M26" s="257"/>
      <c r="N26" s="258"/>
      <c r="O26" s="259"/>
      <c r="P26" s="259"/>
      <c r="Q26" s="260"/>
      <c r="R26" s="259"/>
      <c r="S26" s="259"/>
      <c r="T26" s="259"/>
      <c r="U26" s="261" t="str">
        <f t="shared" si="0"/>
        <v/>
      </c>
      <c r="V26" s="259"/>
      <c r="W26" s="259"/>
      <c r="X26" s="259"/>
      <c r="Y26" s="259"/>
      <c r="Z26" s="262"/>
      <c r="AA26" s="263" t="str">
        <f t="shared" si="1"/>
        <v/>
      </c>
      <c r="AB26" s="264" t="str">
        <f t="shared" si="2"/>
        <v/>
      </c>
      <c r="AC26" s="258"/>
      <c r="AD26" s="259"/>
      <c r="AE26" s="259"/>
      <c r="AF26" s="265"/>
      <c r="AG26" s="266" t="str">
        <f t="shared" si="3"/>
        <v/>
      </c>
      <c r="AH26" s="261" t="str">
        <f t="shared" si="4"/>
        <v/>
      </c>
      <c r="AI26" s="267" t="str">
        <f t="shared" si="5"/>
        <v/>
      </c>
      <c r="AJ26" s="259"/>
      <c r="AK26" s="259"/>
      <c r="AL26" s="259"/>
      <c r="AM26" s="260"/>
      <c r="AN26" s="260"/>
      <c r="AO26" s="260"/>
    </row>
    <row r="27" spans="1:41" x14ac:dyDescent="0.25">
      <c r="A27" s="54"/>
      <c r="B27" s="56"/>
      <c r="C27" s="21"/>
      <c r="D27" s="21"/>
      <c r="E27" s="21"/>
      <c r="F27" s="56"/>
      <c r="G27" s="56"/>
      <c r="H27" s="56"/>
      <c r="I27" s="56"/>
      <c r="J27" s="21"/>
      <c r="K27" s="56"/>
      <c r="M27" s="257"/>
      <c r="N27" s="258"/>
      <c r="O27" s="259"/>
      <c r="P27" s="259"/>
      <c r="Q27" s="260"/>
      <c r="R27" s="259"/>
      <c r="S27" s="259"/>
      <c r="T27" s="259"/>
      <c r="U27" s="261" t="str">
        <f t="shared" si="0"/>
        <v/>
      </c>
      <c r="V27" s="259"/>
      <c r="W27" s="259"/>
      <c r="X27" s="259"/>
      <c r="Y27" s="259"/>
      <c r="Z27" s="262"/>
      <c r="AA27" s="263" t="str">
        <f t="shared" si="1"/>
        <v/>
      </c>
      <c r="AB27" s="264" t="str">
        <f t="shared" si="2"/>
        <v/>
      </c>
      <c r="AC27" s="258"/>
      <c r="AD27" s="259"/>
      <c r="AE27" s="259"/>
      <c r="AF27" s="265"/>
      <c r="AG27" s="266" t="str">
        <f t="shared" si="3"/>
        <v/>
      </c>
      <c r="AH27" s="261" t="str">
        <f t="shared" si="4"/>
        <v/>
      </c>
      <c r="AI27" s="267" t="str">
        <f t="shared" si="5"/>
        <v/>
      </c>
      <c r="AJ27" s="259"/>
      <c r="AK27" s="259"/>
      <c r="AL27" s="259"/>
      <c r="AM27" s="260"/>
      <c r="AN27" s="260"/>
      <c r="AO27" s="260"/>
    </row>
    <row r="28" spans="1:41" x14ac:dyDescent="0.25">
      <c r="A28" s="54"/>
      <c r="B28" s="56"/>
      <c r="C28" s="21"/>
      <c r="D28" s="21"/>
      <c r="E28" s="21"/>
      <c r="F28" s="56"/>
      <c r="G28" s="56"/>
      <c r="H28" s="56"/>
      <c r="I28" s="56"/>
      <c r="J28" s="21"/>
      <c r="K28" s="56"/>
      <c r="M28" s="257"/>
      <c r="N28" s="258"/>
      <c r="O28" s="259"/>
      <c r="P28" s="259"/>
      <c r="Q28" s="260"/>
      <c r="R28" s="259"/>
      <c r="S28" s="259"/>
      <c r="T28" s="259"/>
      <c r="U28" s="261" t="str">
        <f t="shared" si="0"/>
        <v/>
      </c>
      <c r="V28" s="259"/>
      <c r="W28" s="259"/>
      <c r="X28" s="259"/>
      <c r="Y28" s="259"/>
      <c r="Z28" s="262"/>
      <c r="AA28" s="263" t="str">
        <f t="shared" si="1"/>
        <v/>
      </c>
      <c r="AB28" s="264" t="str">
        <f t="shared" si="2"/>
        <v/>
      </c>
      <c r="AC28" s="258"/>
      <c r="AD28" s="259"/>
      <c r="AE28" s="259"/>
      <c r="AF28" s="265"/>
      <c r="AG28" s="266" t="str">
        <f t="shared" si="3"/>
        <v/>
      </c>
      <c r="AH28" s="261" t="str">
        <f t="shared" si="4"/>
        <v/>
      </c>
      <c r="AI28" s="267" t="str">
        <f t="shared" si="5"/>
        <v/>
      </c>
      <c r="AJ28" s="259"/>
      <c r="AK28" s="259"/>
      <c r="AL28" s="259"/>
      <c r="AM28" s="260"/>
      <c r="AN28" s="260"/>
      <c r="AO28" s="260"/>
    </row>
    <row r="29" spans="1:41" x14ac:dyDescent="0.25">
      <c r="A29" s="54"/>
      <c r="B29" s="56"/>
      <c r="C29" s="21"/>
      <c r="D29" s="21"/>
      <c r="E29" s="21"/>
      <c r="F29" s="56"/>
      <c r="G29" s="56"/>
      <c r="H29" s="56"/>
      <c r="I29" s="56"/>
      <c r="J29" s="21"/>
      <c r="K29" s="56"/>
      <c r="M29" s="257"/>
      <c r="N29" s="258"/>
      <c r="O29" s="259"/>
      <c r="P29" s="259"/>
      <c r="Q29" s="260"/>
      <c r="R29" s="259"/>
      <c r="S29" s="259"/>
      <c r="T29" s="259"/>
      <c r="U29" s="261" t="str">
        <f t="shared" si="0"/>
        <v/>
      </c>
      <c r="V29" s="259"/>
      <c r="W29" s="259"/>
      <c r="X29" s="259"/>
      <c r="Y29" s="259"/>
      <c r="Z29" s="262"/>
      <c r="AA29" s="263" t="str">
        <f t="shared" si="1"/>
        <v/>
      </c>
      <c r="AB29" s="264" t="str">
        <f t="shared" si="2"/>
        <v/>
      </c>
      <c r="AC29" s="258"/>
      <c r="AD29" s="259"/>
      <c r="AE29" s="259"/>
      <c r="AF29" s="265"/>
      <c r="AG29" s="266" t="str">
        <f t="shared" si="3"/>
        <v/>
      </c>
      <c r="AH29" s="261" t="str">
        <f t="shared" si="4"/>
        <v/>
      </c>
      <c r="AI29" s="267" t="str">
        <f t="shared" si="5"/>
        <v/>
      </c>
      <c r="AJ29" s="259"/>
      <c r="AK29" s="259"/>
      <c r="AL29" s="259"/>
      <c r="AM29" s="260"/>
      <c r="AN29" s="260"/>
      <c r="AO29" s="260"/>
    </row>
    <row r="30" spans="1:41" x14ac:dyDescent="0.25">
      <c r="A30" s="54"/>
      <c r="B30" s="56"/>
      <c r="C30" s="21"/>
      <c r="D30" s="21"/>
      <c r="E30" s="21"/>
      <c r="F30" s="56"/>
      <c r="G30" s="56"/>
      <c r="H30" s="56"/>
      <c r="I30" s="56"/>
      <c r="J30" s="21"/>
      <c r="K30" s="56"/>
      <c r="M30" s="257"/>
      <c r="N30" s="258"/>
      <c r="O30" s="259"/>
      <c r="P30" s="259"/>
      <c r="Q30" s="260"/>
      <c r="R30" s="259"/>
      <c r="S30" s="259"/>
      <c r="T30" s="259"/>
      <c r="U30" s="261" t="str">
        <f t="shared" si="0"/>
        <v/>
      </c>
      <c r="V30" s="259"/>
      <c r="W30" s="259"/>
      <c r="X30" s="259"/>
      <c r="Y30" s="259"/>
      <c r="Z30" s="262"/>
      <c r="AA30" s="263" t="str">
        <f t="shared" si="1"/>
        <v/>
      </c>
      <c r="AB30" s="264" t="str">
        <f t="shared" si="2"/>
        <v/>
      </c>
      <c r="AC30" s="258"/>
      <c r="AD30" s="259"/>
      <c r="AE30" s="259"/>
      <c r="AF30" s="265"/>
      <c r="AG30" s="266" t="str">
        <f t="shared" si="3"/>
        <v/>
      </c>
      <c r="AH30" s="261" t="str">
        <f t="shared" si="4"/>
        <v/>
      </c>
      <c r="AI30" s="267" t="str">
        <f t="shared" si="5"/>
        <v/>
      </c>
      <c r="AJ30" s="259"/>
      <c r="AK30" s="259"/>
      <c r="AL30" s="259"/>
      <c r="AM30" s="260"/>
      <c r="AN30" s="260"/>
      <c r="AO30" s="260"/>
    </row>
    <row r="31" spans="1:41" x14ac:dyDescent="0.25">
      <c r="A31" s="54"/>
      <c r="B31" s="56"/>
      <c r="C31" s="21"/>
      <c r="D31" s="21"/>
      <c r="E31" s="21"/>
      <c r="F31" s="56"/>
      <c r="G31" s="56"/>
      <c r="H31" s="56"/>
      <c r="I31" s="56"/>
      <c r="J31" s="21"/>
      <c r="K31" s="56"/>
      <c r="M31" s="257"/>
      <c r="N31" s="258"/>
      <c r="O31" s="259"/>
      <c r="P31" s="259"/>
      <c r="Q31" s="260"/>
      <c r="R31" s="259"/>
      <c r="S31" s="259"/>
      <c r="T31" s="259"/>
      <c r="U31" s="261" t="str">
        <f t="shared" si="0"/>
        <v/>
      </c>
      <c r="V31" s="259"/>
      <c r="W31" s="259"/>
      <c r="X31" s="259"/>
      <c r="Y31" s="259"/>
      <c r="Z31" s="262"/>
      <c r="AA31" s="263" t="str">
        <f t="shared" si="1"/>
        <v/>
      </c>
      <c r="AB31" s="264" t="str">
        <f t="shared" si="2"/>
        <v/>
      </c>
      <c r="AC31" s="258"/>
      <c r="AD31" s="259"/>
      <c r="AE31" s="259"/>
      <c r="AF31" s="265"/>
      <c r="AG31" s="266" t="str">
        <f t="shared" si="3"/>
        <v/>
      </c>
      <c r="AH31" s="261" t="str">
        <f t="shared" si="4"/>
        <v/>
      </c>
      <c r="AI31" s="267" t="str">
        <f t="shared" si="5"/>
        <v/>
      </c>
      <c r="AJ31" s="259"/>
      <c r="AK31" s="259"/>
      <c r="AL31" s="259"/>
      <c r="AM31" s="260"/>
      <c r="AN31" s="260"/>
      <c r="AO31" s="260"/>
    </row>
    <row r="32" spans="1:41" x14ac:dyDescent="0.25">
      <c r="A32" s="54"/>
      <c r="B32" s="56"/>
      <c r="C32" s="21"/>
      <c r="D32" s="21"/>
      <c r="E32" s="21"/>
      <c r="F32" s="56"/>
      <c r="G32" s="56"/>
      <c r="H32" s="56"/>
      <c r="I32" s="56"/>
      <c r="J32" s="21"/>
      <c r="K32" s="56"/>
      <c r="M32" s="257"/>
      <c r="N32" s="258"/>
      <c r="O32" s="259"/>
      <c r="P32" s="259"/>
      <c r="Q32" s="260"/>
      <c r="R32" s="259"/>
      <c r="S32" s="259"/>
      <c r="T32" s="259"/>
      <c r="U32" s="261" t="str">
        <f t="shared" si="0"/>
        <v/>
      </c>
      <c r="V32" s="259"/>
      <c r="W32" s="259"/>
      <c r="X32" s="259"/>
      <c r="Y32" s="259"/>
      <c r="Z32" s="262"/>
      <c r="AA32" s="263" t="str">
        <f t="shared" si="1"/>
        <v/>
      </c>
      <c r="AB32" s="264" t="str">
        <f t="shared" si="2"/>
        <v/>
      </c>
      <c r="AC32" s="258"/>
      <c r="AD32" s="259"/>
      <c r="AE32" s="259"/>
      <c r="AF32" s="265"/>
      <c r="AG32" s="266" t="str">
        <f t="shared" si="3"/>
        <v/>
      </c>
      <c r="AH32" s="261" t="str">
        <f t="shared" si="4"/>
        <v/>
      </c>
      <c r="AI32" s="267" t="str">
        <f t="shared" si="5"/>
        <v/>
      </c>
      <c r="AJ32" s="259"/>
      <c r="AK32" s="259"/>
      <c r="AL32" s="259"/>
      <c r="AM32" s="260"/>
      <c r="AN32" s="260"/>
      <c r="AO32" s="260"/>
    </row>
    <row r="33" spans="1:41" x14ac:dyDescent="0.25">
      <c r="A33" s="54"/>
      <c r="B33" s="56"/>
      <c r="C33" s="21"/>
      <c r="D33" s="21"/>
      <c r="E33" s="21"/>
      <c r="F33" s="56"/>
      <c r="G33" s="56"/>
      <c r="H33" s="56"/>
      <c r="I33" s="56"/>
      <c r="J33" s="21"/>
      <c r="K33" s="56"/>
      <c r="M33" s="257"/>
      <c r="N33" s="258"/>
      <c r="O33" s="259"/>
      <c r="P33" s="259"/>
      <c r="Q33" s="260"/>
      <c r="R33" s="259"/>
      <c r="S33" s="259"/>
      <c r="T33" s="259"/>
      <c r="U33" s="261" t="str">
        <f t="shared" si="0"/>
        <v/>
      </c>
      <c r="V33" s="259"/>
      <c r="W33" s="259"/>
      <c r="X33" s="259"/>
      <c r="Y33" s="259"/>
      <c r="Z33" s="262"/>
      <c r="AA33" s="263" t="str">
        <f t="shared" si="1"/>
        <v/>
      </c>
      <c r="AB33" s="264" t="str">
        <f t="shared" si="2"/>
        <v/>
      </c>
      <c r="AC33" s="258"/>
      <c r="AD33" s="259"/>
      <c r="AE33" s="259"/>
      <c r="AF33" s="265"/>
      <c r="AG33" s="266" t="str">
        <f t="shared" si="3"/>
        <v/>
      </c>
      <c r="AH33" s="261" t="str">
        <f t="shared" si="4"/>
        <v/>
      </c>
      <c r="AI33" s="267" t="str">
        <f t="shared" si="5"/>
        <v/>
      </c>
      <c r="AJ33" s="259"/>
      <c r="AK33" s="259"/>
      <c r="AL33" s="259"/>
      <c r="AM33" s="260"/>
      <c r="AN33" s="260"/>
      <c r="AO33" s="260"/>
    </row>
    <row r="34" spans="1:41" x14ac:dyDescent="0.25">
      <c r="A34" s="54"/>
      <c r="B34" s="56"/>
      <c r="C34" s="21"/>
      <c r="D34" s="21"/>
      <c r="E34" s="21"/>
      <c r="F34" s="56"/>
      <c r="G34" s="56"/>
      <c r="H34" s="56"/>
      <c r="I34" s="56"/>
      <c r="J34" s="21"/>
      <c r="K34" s="56"/>
      <c r="M34" s="257"/>
      <c r="N34" s="258"/>
      <c r="O34" s="259"/>
      <c r="P34" s="259"/>
      <c r="Q34" s="260"/>
      <c r="R34" s="259"/>
      <c r="S34" s="259"/>
      <c r="T34" s="259"/>
      <c r="U34" s="261" t="str">
        <f t="shared" si="0"/>
        <v/>
      </c>
      <c r="V34" s="259"/>
      <c r="W34" s="259"/>
      <c r="X34" s="259"/>
      <c r="Y34" s="259"/>
      <c r="Z34" s="262"/>
      <c r="AA34" s="263" t="str">
        <f t="shared" si="1"/>
        <v/>
      </c>
      <c r="AB34" s="264" t="str">
        <f t="shared" si="2"/>
        <v/>
      </c>
      <c r="AC34" s="258"/>
      <c r="AD34" s="259"/>
      <c r="AE34" s="259"/>
      <c r="AF34" s="265"/>
      <c r="AG34" s="266" t="str">
        <f t="shared" si="3"/>
        <v/>
      </c>
      <c r="AH34" s="261" t="str">
        <f t="shared" si="4"/>
        <v/>
      </c>
      <c r="AI34" s="267" t="str">
        <f t="shared" si="5"/>
        <v/>
      </c>
      <c r="AJ34" s="259"/>
      <c r="AK34" s="259"/>
      <c r="AL34" s="259"/>
      <c r="AM34" s="260"/>
      <c r="AN34" s="260"/>
      <c r="AO34" s="260"/>
    </row>
    <row r="35" spans="1:41" x14ac:dyDescent="0.25">
      <c r="A35" s="54"/>
      <c r="B35" s="56"/>
      <c r="C35" s="21"/>
      <c r="D35" s="21"/>
      <c r="E35" s="21"/>
      <c r="F35" s="56"/>
      <c r="G35" s="56"/>
      <c r="H35" s="56"/>
      <c r="I35" s="56"/>
      <c r="J35" s="21"/>
      <c r="K35" s="56"/>
      <c r="M35" s="257"/>
      <c r="N35" s="258"/>
      <c r="O35" s="259"/>
      <c r="P35" s="259"/>
      <c r="Q35" s="260"/>
      <c r="R35" s="259"/>
      <c r="S35" s="259"/>
      <c r="T35" s="259"/>
      <c r="U35" s="261" t="str">
        <f t="shared" si="0"/>
        <v/>
      </c>
      <c r="V35" s="259"/>
      <c r="W35" s="259"/>
      <c r="X35" s="259"/>
      <c r="Y35" s="259"/>
      <c r="Z35" s="262"/>
      <c r="AA35" s="263" t="str">
        <f t="shared" si="1"/>
        <v/>
      </c>
      <c r="AB35" s="264" t="str">
        <f t="shared" si="2"/>
        <v/>
      </c>
      <c r="AC35" s="258"/>
      <c r="AD35" s="259"/>
      <c r="AE35" s="259"/>
      <c r="AF35" s="265"/>
      <c r="AG35" s="266" t="str">
        <f t="shared" si="3"/>
        <v/>
      </c>
      <c r="AH35" s="261" t="str">
        <f t="shared" si="4"/>
        <v/>
      </c>
      <c r="AI35" s="267" t="str">
        <f t="shared" si="5"/>
        <v/>
      </c>
      <c r="AJ35" s="259"/>
      <c r="AK35" s="259"/>
      <c r="AL35" s="259"/>
      <c r="AM35" s="260"/>
      <c r="AN35" s="260"/>
      <c r="AO35" s="260"/>
    </row>
    <row r="36" spans="1:41" x14ac:dyDescent="0.25">
      <c r="A36" s="54"/>
      <c r="B36" s="56"/>
      <c r="C36" s="21"/>
      <c r="D36" s="21"/>
      <c r="E36" s="21"/>
      <c r="F36" s="56"/>
      <c r="G36" s="56"/>
      <c r="H36" s="56"/>
      <c r="I36" s="56"/>
      <c r="J36" s="21"/>
      <c r="K36" s="56"/>
      <c r="M36" s="257"/>
      <c r="N36" s="258"/>
      <c r="O36" s="259"/>
      <c r="P36" s="259"/>
      <c r="Q36" s="260"/>
      <c r="R36" s="259"/>
      <c r="S36" s="259"/>
      <c r="T36" s="259"/>
      <c r="U36" s="261" t="str">
        <f t="shared" si="0"/>
        <v/>
      </c>
      <c r="V36" s="259"/>
      <c r="W36" s="259"/>
      <c r="X36" s="259"/>
      <c r="Y36" s="259"/>
      <c r="Z36" s="262"/>
      <c r="AA36" s="263" t="str">
        <f t="shared" si="1"/>
        <v/>
      </c>
      <c r="AB36" s="264" t="str">
        <f t="shared" si="2"/>
        <v/>
      </c>
      <c r="AC36" s="258"/>
      <c r="AD36" s="259"/>
      <c r="AE36" s="259"/>
      <c r="AF36" s="265"/>
      <c r="AG36" s="266" t="str">
        <f t="shared" si="3"/>
        <v/>
      </c>
      <c r="AH36" s="261" t="str">
        <f t="shared" si="4"/>
        <v/>
      </c>
      <c r="AI36" s="267" t="str">
        <f t="shared" si="5"/>
        <v/>
      </c>
      <c r="AJ36" s="259"/>
      <c r="AK36" s="259"/>
      <c r="AL36" s="259"/>
      <c r="AM36" s="260"/>
      <c r="AN36" s="260"/>
      <c r="AO36" s="260"/>
    </row>
    <row r="37" spans="1:41" x14ac:dyDescent="0.25">
      <c r="A37" s="54"/>
      <c r="B37" s="56"/>
      <c r="C37" s="21"/>
      <c r="D37" s="21"/>
      <c r="E37" s="21"/>
      <c r="F37" s="56"/>
      <c r="G37" s="56"/>
      <c r="H37" s="56"/>
      <c r="I37" s="56"/>
      <c r="J37" s="21"/>
      <c r="K37" s="56"/>
      <c r="M37" s="257"/>
      <c r="N37" s="258"/>
      <c r="O37" s="259"/>
      <c r="P37" s="259"/>
      <c r="Q37" s="260"/>
      <c r="R37" s="259"/>
      <c r="S37" s="259"/>
      <c r="T37" s="259"/>
      <c r="U37" s="261" t="str">
        <f t="shared" si="0"/>
        <v/>
      </c>
      <c r="V37" s="259"/>
      <c r="W37" s="259"/>
      <c r="X37" s="259"/>
      <c r="Y37" s="259"/>
      <c r="Z37" s="262"/>
      <c r="AA37" s="263" t="str">
        <f t="shared" si="1"/>
        <v/>
      </c>
      <c r="AB37" s="264" t="str">
        <f t="shared" si="2"/>
        <v/>
      </c>
      <c r="AC37" s="258"/>
      <c r="AD37" s="259"/>
      <c r="AE37" s="259"/>
      <c r="AF37" s="265"/>
      <c r="AG37" s="266" t="str">
        <f t="shared" si="3"/>
        <v/>
      </c>
      <c r="AH37" s="261" t="str">
        <f t="shared" si="4"/>
        <v/>
      </c>
      <c r="AI37" s="267" t="str">
        <f t="shared" si="5"/>
        <v/>
      </c>
      <c r="AJ37" s="259"/>
      <c r="AK37" s="259"/>
      <c r="AL37" s="259"/>
      <c r="AM37" s="260"/>
      <c r="AN37" s="260"/>
      <c r="AO37" s="260"/>
    </row>
    <row r="38" spans="1:41" x14ac:dyDescent="0.25">
      <c r="A38" s="54"/>
      <c r="B38" s="56"/>
      <c r="C38" s="21"/>
      <c r="D38" s="21"/>
      <c r="E38" s="21"/>
      <c r="F38" s="56"/>
      <c r="G38" s="56"/>
      <c r="H38" s="56"/>
      <c r="I38" s="56"/>
      <c r="J38" s="21"/>
      <c r="K38" s="56"/>
      <c r="M38" s="257"/>
      <c r="N38" s="258"/>
      <c r="O38" s="259"/>
      <c r="P38" s="259"/>
      <c r="Q38" s="260"/>
      <c r="R38" s="259"/>
      <c r="S38" s="259"/>
      <c r="T38" s="259"/>
      <c r="U38" s="261" t="str">
        <f t="shared" si="0"/>
        <v/>
      </c>
      <c r="V38" s="259"/>
      <c r="W38" s="259"/>
      <c r="X38" s="259"/>
      <c r="Y38" s="259"/>
      <c r="Z38" s="262"/>
      <c r="AA38" s="263" t="str">
        <f t="shared" si="1"/>
        <v/>
      </c>
      <c r="AB38" s="264" t="str">
        <f t="shared" si="2"/>
        <v/>
      </c>
      <c r="AC38" s="258"/>
      <c r="AD38" s="259"/>
      <c r="AE38" s="259"/>
      <c r="AF38" s="265"/>
      <c r="AG38" s="266" t="str">
        <f t="shared" si="3"/>
        <v/>
      </c>
      <c r="AH38" s="261" t="str">
        <f t="shared" si="4"/>
        <v/>
      </c>
      <c r="AI38" s="267" t="str">
        <f t="shared" si="5"/>
        <v/>
      </c>
      <c r="AJ38" s="259"/>
      <c r="AK38" s="259"/>
      <c r="AL38" s="259"/>
      <c r="AM38" s="260"/>
      <c r="AN38" s="260"/>
      <c r="AO38" s="260"/>
    </row>
    <row r="39" spans="1:41" x14ac:dyDescent="0.25">
      <c r="A39" s="54"/>
      <c r="B39" s="56"/>
      <c r="C39" s="21"/>
      <c r="D39" s="21"/>
      <c r="E39" s="21"/>
      <c r="F39" s="56"/>
      <c r="G39" s="56"/>
      <c r="H39" s="56"/>
      <c r="I39" s="56"/>
      <c r="J39" s="21"/>
      <c r="K39" s="56"/>
      <c r="M39" s="257"/>
      <c r="N39" s="258"/>
      <c r="O39" s="259"/>
      <c r="P39" s="259"/>
      <c r="Q39" s="260"/>
      <c r="R39" s="259"/>
      <c r="S39" s="259"/>
      <c r="T39" s="259"/>
      <c r="U39" s="261" t="str">
        <f t="shared" si="0"/>
        <v/>
      </c>
      <c r="V39" s="259"/>
      <c r="W39" s="259"/>
      <c r="X39" s="259"/>
      <c r="Y39" s="259"/>
      <c r="Z39" s="262"/>
      <c r="AA39" s="263" t="str">
        <f t="shared" si="1"/>
        <v/>
      </c>
      <c r="AB39" s="264" t="str">
        <f t="shared" si="2"/>
        <v/>
      </c>
      <c r="AC39" s="258"/>
      <c r="AD39" s="259"/>
      <c r="AE39" s="259"/>
      <c r="AF39" s="265"/>
      <c r="AG39" s="266" t="str">
        <f t="shared" si="3"/>
        <v/>
      </c>
      <c r="AH39" s="261" t="str">
        <f t="shared" si="4"/>
        <v/>
      </c>
      <c r="AI39" s="267" t="str">
        <f t="shared" si="5"/>
        <v/>
      </c>
      <c r="AJ39" s="259"/>
      <c r="AK39" s="259"/>
      <c r="AL39" s="259"/>
      <c r="AM39" s="260"/>
      <c r="AN39" s="260"/>
      <c r="AO39" s="260"/>
    </row>
    <row r="40" spans="1:41" x14ac:dyDescent="0.25">
      <c r="A40" s="54"/>
      <c r="B40" s="56"/>
      <c r="C40" s="21"/>
      <c r="D40" s="21"/>
      <c r="E40" s="21"/>
      <c r="F40" s="56"/>
      <c r="G40" s="56"/>
      <c r="H40" s="56"/>
      <c r="I40" s="56"/>
      <c r="J40" s="21"/>
      <c r="K40" s="56"/>
      <c r="M40" s="257"/>
      <c r="N40" s="258"/>
      <c r="O40" s="259"/>
      <c r="P40" s="259"/>
      <c r="Q40" s="260"/>
      <c r="R40" s="259"/>
      <c r="S40" s="259"/>
      <c r="T40" s="259"/>
      <c r="U40" s="261" t="str">
        <f t="shared" si="0"/>
        <v/>
      </c>
      <c r="V40" s="259"/>
      <c r="W40" s="259"/>
      <c r="X40" s="259"/>
      <c r="Y40" s="259"/>
      <c r="Z40" s="262"/>
      <c r="AA40" s="263" t="str">
        <f t="shared" si="1"/>
        <v/>
      </c>
      <c r="AB40" s="264" t="str">
        <f t="shared" si="2"/>
        <v/>
      </c>
      <c r="AC40" s="258"/>
      <c r="AD40" s="259"/>
      <c r="AE40" s="259"/>
      <c r="AF40" s="265"/>
      <c r="AG40" s="266" t="str">
        <f t="shared" si="3"/>
        <v/>
      </c>
      <c r="AH40" s="261" t="str">
        <f t="shared" si="4"/>
        <v/>
      </c>
      <c r="AI40" s="267" t="str">
        <f t="shared" si="5"/>
        <v/>
      </c>
      <c r="AJ40" s="259"/>
      <c r="AK40" s="259"/>
      <c r="AL40" s="259"/>
      <c r="AM40" s="260"/>
      <c r="AN40" s="260"/>
      <c r="AO40" s="260"/>
    </row>
    <row r="41" spans="1:41" x14ac:dyDescent="0.25">
      <c r="A41" s="54"/>
      <c r="B41" s="56"/>
      <c r="C41" s="21"/>
      <c r="D41" s="21"/>
      <c r="E41" s="21"/>
      <c r="F41" s="56"/>
      <c r="G41" s="56"/>
      <c r="H41" s="56"/>
      <c r="I41" s="56"/>
      <c r="J41" s="21"/>
      <c r="K41" s="56"/>
      <c r="M41" s="257"/>
      <c r="N41" s="258"/>
      <c r="O41" s="259"/>
      <c r="P41" s="259"/>
      <c r="Q41" s="260"/>
      <c r="R41" s="259"/>
      <c r="S41" s="259"/>
      <c r="T41" s="259"/>
      <c r="U41" s="261" t="str">
        <f t="shared" si="0"/>
        <v/>
      </c>
      <c r="V41" s="259"/>
      <c r="W41" s="259"/>
      <c r="X41" s="259"/>
      <c r="Y41" s="259"/>
      <c r="Z41" s="262"/>
      <c r="AA41" s="263" t="str">
        <f t="shared" si="1"/>
        <v/>
      </c>
      <c r="AB41" s="264" t="str">
        <f t="shared" si="2"/>
        <v/>
      </c>
      <c r="AC41" s="258"/>
      <c r="AD41" s="259"/>
      <c r="AE41" s="259"/>
      <c r="AF41" s="265"/>
      <c r="AG41" s="266" t="str">
        <f t="shared" si="3"/>
        <v/>
      </c>
      <c r="AH41" s="261" t="str">
        <f t="shared" si="4"/>
        <v/>
      </c>
      <c r="AI41" s="267" t="str">
        <f t="shared" si="5"/>
        <v/>
      </c>
      <c r="AJ41" s="259"/>
      <c r="AK41" s="259"/>
      <c r="AL41" s="259"/>
      <c r="AM41" s="260"/>
      <c r="AN41" s="260"/>
      <c r="AO41" s="260"/>
    </row>
    <row r="42" spans="1:41" x14ac:dyDescent="0.25">
      <c r="A42" s="54"/>
      <c r="B42" s="56"/>
      <c r="C42" s="21"/>
      <c r="D42" s="21"/>
      <c r="E42" s="21"/>
      <c r="F42" s="56"/>
      <c r="G42" s="56"/>
      <c r="H42" s="56"/>
      <c r="I42" s="56"/>
      <c r="J42" s="21"/>
      <c r="K42" s="56"/>
      <c r="M42" s="257"/>
      <c r="N42" s="258"/>
      <c r="O42" s="259"/>
      <c r="P42" s="259"/>
      <c r="Q42" s="260"/>
      <c r="R42" s="259"/>
      <c r="S42" s="259"/>
      <c r="T42" s="259"/>
      <c r="U42" s="261" t="str">
        <f t="shared" si="0"/>
        <v/>
      </c>
      <c r="V42" s="259"/>
      <c r="W42" s="259"/>
      <c r="X42" s="259"/>
      <c r="Y42" s="259"/>
      <c r="Z42" s="262"/>
      <c r="AA42" s="263" t="str">
        <f t="shared" si="1"/>
        <v/>
      </c>
      <c r="AB42" s="264" t="str">
        <f t="shared" si="2"/>
        <v/>
      </c>
      <c r="AC42" s="258"/>
      <c r="AD42" s="259"/>
      <c r="AE42" s="259"/>
      <c r="AF42" s="265"/>
      <c r="AG42" s="266" t="str">
        <f t="shared" si="3"/>
        <v/>
      </c>
      <c r="AH42" s="261" t="str">
        <f t="shared" si="4"/>
        <v/>
      </c>
      <c r="AI42" s="267" t="str">
        <f t="shared" si="5"/>
        <v/>
      </c>
      <c r="AJ42" s="259"/>
      <c r="AK42" s="259"/>
      <c r="AL42" s="259"/>
      <c r="AM42" s="260"/>
      <c r="AN42" s="260"/>
      <c r="AO42" s="260"/>
    </row>
    <row r="43" spans="1:41" x14ac:dyDescent="0.25">
      <c r="A43" s="54"/>
      <c r="B43" s="56"/>
      <c r="C43" s="21"/>
      <c r="D43" s="21"/>
      <c r="E43" s="21"/>
      <c r="F43" s="56"/>
      <c r="G43" s="56"/>
      <c r="H43" s="56"/>
      <c r="I43" s="56"/>
      <c r="J43" s="21"/>
      <c r="K43" s="56"/>
      <c r="M43" s="257"/>
      <c r="N43" s="258"/>
      <c r="O43" s="259"/>
      <c r="P43" s="259"/>
      <c r="Q43" s="260"/>
      <c r="R43" s="259"/>
      <c r="S43" s="259"/>
      <c r="T43" s="259"/>
      <c r="U43" s="261" t="str">
        <f t="shared" si="0"/>
        <v/>
      </c>
      <c r="V43" s="259"/>
      <c r="W43" s="259"/>
      <c r="X43" s="259"/>
      <c r="Y43" s="259"/>
      <c r="Z43" s="262"/>
      <c r="AA43" s="263" t="str">
        <f t="shared" si="1"/>
        <v/>
      </c>
      <c r="AB43" s="264" t="str">
        <f t="shared" si="2"/>
        <v/>
      </c>
      <c r="AC43" s="258"/>
      <c r="AD43" s="259"/>
      <c r="AE43" s="259"/>
      <c r="AF43" s="265"/>
      <c r="AG43" s="266" t="str">
        <f t="shared" si="3"/>
        <v/>
      </c>
      <c r="AH43" s="261" t="str">
        <f t="shared" si="4"/>
        <v/>
      </c>
      <c r="AI43" s="267" t="str">
        <f t="shared" si="5"/>
        <v/>
      </c>
      <c r="AJ43" s="259"/>
      <c r="AK43" s="259"/>
      <c r="AL43" s="259"/>
      <c r="AM43" s="260"/>
      <c r="AN43" s="260"/>
      <c r="AO43" s="260"/>
    </row>
    <row r="44" spans="1:41" x14ac:dyDescent="0.25">
      <c r="A44" s="54"/>
      <c r="B44" s="56"/>
      <c r="C44" s="21"/>
      <c r="D44" s="21"/>
      <c r="E44" s="21"/>
      <c r="F44" s="56"/>
      <c r="G44" s="56"/>
      <c r="H44" s="56"/>
      <c r="I44" s="56"/>
      <c r="J44" s="21"/>
      <c r="K44" s="56"/>
      <c r="M44" s="257"/>
      <c r="N44" s="258"/>
      <c r="O44" s="259"/>
      <c r="P44" s="259"/>
      <c r="Q44" s="260"/>
      <c r="R44" s="259"/>
      <c r="S44" s="259"/>
      <c r="T44" s="259"/>
      <c r="U44" s="261" t="str">
        <f t="shared" si="0"/>
        <v/>
      </c>
      <c r="V44" s="259"/>
      <c r="W44" s="259"/>
      <c r="X44" s="259"/>
      <c r="Y44" s="259"/>
      <c r="Z44" s="262"/>
      <c r="AA44" s="263" t="str">
        <f t="shared" si="1"/>
        <v/>
      </c>
      <c r="AB44" s="264" t="str">
        <f t="shared" si="2"/>
        <v/>
      </c>
      <c r="AC44" s="258"/>
      <c r="AD44" s="259"/>
      <c r="AE44" s="259"/>
      <c r="AF44" s="265"/>
      <c r="AG44" s="266" t="str">
        <f t="shared" si="3"/>
        <v/>
      </c>
      <c r="AH44" s="261" t="str">
        <f t="shared" si="4"/>
        <v/>
      </c>
      <c r="AI44" s="267" t="str">
        <f t="shared" si="5"/>
        <v/>
      </c>
      <c r="AJ44" s="259"/>
      <c r="AK44" s="259"/>
      <c r="AL44" s="259"/>
      <c r="AM44" s="260"/>
      <c r="AN44" s="260"/>
      <c r="AO44" s="260"/>
    </row>
    <row r="45" spans="1:41" x14ac:dyDescent="0.25">
      <c r="A45" s="54"/>
      <c r="B45" s="56"/>
      <c r="C45" s="21"/>
      <c r="D45" s="21"/>
      <c r="E45" s="21"/>
      <c r="F45" s="56"/>
      <c r="G45" s="56"/>
      <c r="H45" s="56"/>
      <c r="I45" s="56"/>
      <c r="J45" s="21"/>
      <c r="K45" s="56"/>
      <c r="M45" s="257"/>
      <c r="N45" s="258"/>
      <c r="O45" s="259"/>
      <c r="P45" s="259"/>
      <c r="Q45" s="260"/>
      <c r="R45" s="259"/>
      <c r="S45" s="259"/>
      <c r="T45" s="259"/>
      <c r="U45" s="261" t="str">
        <f t="shared" si="0"/>
        <v/>
      </c>
      <c r="V45" s="259"/>
      <c r="W45" s="259"/>
      <c r="X45" s="259"/>
      <c r="Y45" s="259"/>
      <c r="Z45" s="262"/>
      <c r="AA45" s="263" t="str">
        <f t="shared" si="1"/>
        <v/>
      </c>
      <c r="AB45" s="264" t="str">
        <f t="shared" si="2"/>
        <v/>
      </c>
      <c r="AC45" s="258"/>
      <c r="AD45" s="259"/>
      <c r="AE45" s="259"/>
      <c r="AF45" s="265"/>
      <c r="AG45" s="266" t="str">
        <f t="shared" si="3"/>
        <v/>
      </c>
      <c r="AH45" s="261" t="str">
        <f t="shared" si="4"/>
        <v/>
      </c>
      <c r="AI45" s="267" t="str">
        <f t="shared" si="5"/>
        <v/>
      </c>
      <c r="AJ45" s="259"/>
      <c r="AK45" s="259"/>
      <c r="AL45" s="259"/>
      <c r="AM45" s="260"/>
      <c r="AN45" s="260"/>
      <c r="AO45" s="260"/>
    </row>
    <row r="46" spans="1:41" x14ac:dyDescent="0.25">
      <c r="A46" s="54"/>
      <c r="B46" s="56"/>
      <c r="C46" s="21"/>
      <c r="D46" s="21"/>
      <c r="E46" s="21"/>
      <c r="F46" s="56"/>
      <c r="G46" s="56"/>
      <c r="H46" s="56"/>
      <c r="I46" s="56"/>
      <c r="J46" s="21"/>
      <c r="K46" s="56"/>
      <c r="M46" s="257"/>
      <c r="N46" s="258"/>
      <c r="O46" s="259"/>
      <c r="P46" s="259"/>
      <c r="Q46" s="260"/>
      <c r="R46" s="259"/>
      <c r="S46" s="259"/>
      <c r="T46" s="259"/>
      <c r="U46" s="261" t="str">
        <f t="shared" si="0"/>
        <v/>
      </c>
      <c r="V46" s="259"/>
      <c r="W46" s="259"/>
      <c r="X46" s="259"/>
      <c r="Y46" s="259"/>
      <c r="Z46" s="262"/>
      <c r="AA46" s="263" t="str">
        <f t="shared" si="1"/>
        <v/>
      </c>
      <c r="AB46" s="264" t="str">
        <f t="shared" si="2"/>
        <v/>
      </c>
      <c r="AC46" s="258"/>
      <c r="AD46" s="259"/>
      <c r="AE46" s="259"/>
      <c r="AF46" s="265"/>
      <c r="AG46" s="266" t="str">
        <f t="shared" si="3"/>
        <v/>
      </c>
      <c r="AH46" s="261" t="str">
        <f t="shared" si="4"/>
        <v/>
      </c>
      <c r="AI46" s="267" t="str">
        <f t="shared" si="5"/>
        <v/>
      </c>
      <c r="AJ46" s="259"/>
      <c r="AK46" s="259"/>
      <c r="AL46" s="259"/>
      <c r="AM46" s="260"/>
      <c r="AN46" s="260"/>
      <c r="AO46" s="260"/>
    </row>
    <row r="47" spans="1:41" x14ac:dyDescent="0.25">
      <c r="A47" s="54"/>
      <c r="B47" s="56"/>
      <c r="C47" s="21"/>
      <c r="D47" s="21"/>
      <c r="E47" s="21"/>
      <c r="F47" s="56"/>
      <c r="G47" s="56"/>
      <c r="H47" s="56"/>
      <c r="I47" s="56"/>
      <c r="J47" s="21"/>
      <c r="K47" s="56"/>
      <c r="M47" s="257"/>
      <c r="N47" s="258"/>
      <c r="O47" s="259"/>
      <c r="P47" s="259"/>
      <c r="Q47" s="260"/>
      <c r="R47" s="259"/>
      <c r="S47" s="259"/>
      <c r="T47" s="259"/>
      <c r="U47" s="261" t="str">
        <f t="shared" si="0"/>
        <v/>
      </c>
      <c r="V47" s="259"/>
      <c r="W47" s="259"/>
      <c r="X47" s="259"/>
      <c r="Y47" s="259"/>
      <c r="Z47" s="262"/>
      <c r="AA47" s="263" t="str">
        <f t="shared" si="1"/>
        <v/>
      </c>
      <c r="AB47" s="264" t="str">
        <f t="shared" si="2"/>
        <v/>
      </c>
      <c r="AC47" s="258"/>
      <c r="AD47" s="259"/>
      <c r="AE47" s="259"/>
      <c r="AF47" s="265"/>
      <c r="AG47" s="266" t="str">
        <f t="shared" si="3"/>
        <v/>
      </c>
      <c r="AH47" s="261" t="str">
        <f t="shared" si="4"/>
        <v/>
      </c>
      <c r="AI47" s="267" t="str">
        <f t="shared" si="5"/>
        <v/>
      </c>
      <c r="AJ47" s="259"/>
      <c r="AK47" s="259"/>
      <c r="AL47" s="259"/>
      <c r="AM47" s="260"/>
      <c r="AN47" s="260"/>
      <c r="AO47" s="260"/>
    </row>
    <row r="48" spans="1:41" x14ac:dyDescent="0.25">
      <c r="A48" s="54"/>
      <c r="B48" s="56"/>
      <c r="C48" s="21"/>
      <c r="D48" s="21"/>
      <c r="E48" s="21"/>
      <c r="F48" s="56"/>
      <c r="G48" s="56"/>
      <c r="H48" s="56"/>
      <c r="I48" s="56"/>
      <c r="J48" s="21"/>
      <c r="K48" s="56"/>
      <c r="M48" s="257"/>
      <c r="N48" s="258"/>
      <c r="O48" s="259"/>
      <c r="P48" s="259"/>
      <c r="Q48" s="260"/>
      <c r="R48" s="259"/>
      <c r="S48" s="259"/>
      <c r="T48" s="259"/>
      <c r="U48" s="261" t="str">
        <f t="shared" si="0"/>
        <v/>
      </c>
      <c r="V48" s="259"/>
      <c r="W48" s="259"/>
      <c r="X48" s="259"/>
      <c r="Y48" s="259"/>
      <c r="Z48" s="262"/>
      <c r="AA48" s="263" t="str">
        <f t="shared" si="1"/>
        <v/>
      </c>
      <c r="AB48" s="264" t="str">
        <f t="shared" si="2"/>
        <v/>
      </c>
      <c r="AC48" s="258"/>
      <c r="AD48" s="259"/>
      <c r="AE48" s="259"/>
      <c r="AF48" s="265"/>
      <c r="AG48" s="266" t="str">
        <f t="shared" si="3"/>
        <v/>
      </c>
      <c r="AH48" s="261" t="str">
        <f t="shared" si="4"/>
        <v/>
      </c>
      <c r="AI48" s="267" t="str">
        <f t="shared" si="5"/>
        <v/>
      </c>
      <c r="AJ48" s="259"/>
      <c r="AK48" s="259"/>
      <c r="AL48" s="259"/>
      <c r="AM48" s="260"/>
      <c r="AN48" s="260"/>
      <c r="AO48" s="260"/>
    </row>
    <row r="49" spans="1:41" x14ac:dyDescent="0.25">
      <c r="A49" s="54"/>
      <c r="B49" s="56"/>
      <c r="C49" s="21"/>
      <c r="D49" s="21"/>
      <c r="E49" s="21"/>
      <c r="F49" s="56"/>
      <c r="G49" s="56"/>
      <c r="H49" s="56"/>
      <c r="I49" s="56"/>
      <c r="J49" s="21"/>
      <c r="K49" s="56"/>
      <c r="M49" s="257"/>
      <c r="N49" s="258"/>
      <c r="O49" s="259"/>
      <c r="P49" s="259"/>
      <c r="Q49" s="260"/>
      <c r="R49" s="259"/>
      <c r="S49" s="259"/>
      <c r="T49" s="259"/>
      <c r="U49" s="261" t="str">
        <f t="shared" si="0"/>
        <v/>
      </c>
      <c r="V49" s="259"/>
      <c r="W49" s="259"/>
      <c r="X49" s="259"/>
      <c r="Y49" s="259"/>
      <c r="Z49" s="262"/>
      <c r="AA49" s="263" t="str">
        <f t="shared" si="1"/>
        <v/>
      </c>
      <c r="AB49" s="264" t="str">
        <f t="shared" si="2"/>
        <v/>
      </c>
      <c r="AC49" s="258"/>
      <c r="AD49" s="259"/>
      <c r="AE49" s="259"/>
      <c r="AF49" s="265"/>
      <c r="AG49" s="266" t="str">
        <f t="shared" si="3"/>
        <v/>
      </c>
      <c r="AH49" s="261" t="str">
        <f t="shared" si="4"/>
        <v/>
      </c>
      <c r="AI49" s="267" t="str">
        <f t="shared" si="5"/>
        <v/>
      </c>
      <c r="AJ49" s="259"/>
      <c r="AK49" s="259"/>
      <c r="AL49" s="259"/>
      <c r="AM49" s="260"/>
      <c r="AN49" s="260"/>
      <c r="AO49" s="260"/>
    </row>
    <row r="50" spans="1:41" x14ac:dyDescent="0.25">
      <c r="A50" s="54"/>
      <c r="B50" s="56"/>
      <c r="C50" s="21"/>
      <c r="D50" s="21"/>
      <c r="E50" s="21"/>
      <c r="F50" s="56"/>
      <c r="G50" s="56"/>
      <c r="H50" s="56"/>
      <c r="I50" s="56"/>
      <c r="J50" s="21"/>
      <c r="K50" s="56"/>
      <c r="M50" s="257"/>
      <c r="N50" s="258"/>
      <c r="O50" s="259"/>
      <c r="P50" s="259"/>
      <c r="Q50" s="260"/>
      <c r="R50" s="259"/>
      <c r="S50" s="259"/>
      <c r="T50" s="259"/>
      <c r="U50" s="261" t="str">
        <f t="shared" si="0"/>
        <v/>
      </c>
      <c r="V50" s="259"/>
      <c r="W50" s="259"/>
      <c r="X50" s="259"/>
      <c r="Y50" s="259"/>
      <c r="Z50" s="262"/>
      <c r="AA50" s="263" t="str">
        <f t="shared" si="1"/>
        <v/>
      </c>
      <c r="AB50" s="264" t="str">
        <f t="shared" si="2"/>
        <v/>
      </c>
      <c r="AC50" s="258"/>
      <c r="AD50" s="259"/>
      <c r="AE50" s="259"/>
      <c r="AF50" s="265"/>
      <c r="AG50" s="266" t="str">
        <f t="shared" si="3"/>
        <v/>
      </c>
      <c r="AH50" s="261" t="str">
        <f t="shared" si="4"/>
        <v/>
      </c>
      <c r="AI50" s="267" t="str">
        <f t="shared" si="5"/>
        <v/>
      </c>
      <c r="AJ50" s="259"/>
      <c r="AK50" s="259"/>
      <c r="AL50" s="259"/>
      <c r="AM50" s="260"/>
      <c r="AN50" s="260"/>
      <c r="AO50" s="260"/>
    </row>
    <row r="51" spans="1:41" x14ac:dyDescent="0.25">
      <c r="A51" s="54"/>
      <c r="B51" s="56"/>
      <c r="C51" s="21"/>
      <c r="D51" s="21"/>
      <c r="E51" s="21"/>
      <c r="F51" s="56"/>
      <c r="G51" s="56"/>
      <c r="H51" s="56"/>
      <c r="I51" s="56"/>
      <c r="J51" s="21"/>
      <c r="K51" s="56"/>
      <c r="M51" s="257"/>
      <c r="N51" s="258"/>
      <c r="O51" s="259"/>
      <c r="P51" s="259"/>
      <c r="Q51" s="260"/>
      <c r="R51" s="259"/>
      <c r="S51" s="259"/>
      <c r="T51" s="259"/>
      <c r="U51" s="261" t="str">
        <f t="shared" si="0"/>
        <v/>
      </c>
      <c r="V51" s="259"/>
      <c r="W51" s="259"/>
      <c r="X51" s="259"/>
      <c r="Y51" s="259"/>
      <c r="Z51" s="262"/>
      <c r="AA51" s="263" t="str">
        <f t="shared" si="1"/>
        <v/>
      </c>
      <c r="AB51" s="264" t="str">
        <f t="shared" si="2"/>
        <v/>
      </c>
      <c r="AC51" s="258"/>
      <c r="AD51" s="259"/>
      <c r="AE51" s="259"/>
      <c r="AF51" s="265"/>
      <c r="AG51" s="266" t="str">
        <f t="shared" si="3"/>
        <v/>
      </c>
      <c r="AH51" s="261" t="str">
        <f t="shared" si="4"/>
        <v/>
      </c>
      <c r="AI51" s="267" t="str">
        <f t="shared" si="5"/>
        <v/>
      </c>
      <c r="AJ51" s="259"/>
      <c r="AK51" s="259"/>
      <c r="AL51" s="259"/>
      <c r="AM51" s="260"/>
      <c r="AN51" s="260"/>
      <c r="AO51" s="260"/>
    </row>
    <row r="52" spans="1:41" x14ac:dyDescent="0.25">
      <c r="A52" s="54"/>
      <c r="B52" s="56"/>
      <c r="C52" s="21"/>
      <c r="D52" s="21"/>
      <c r="E52" s="21"/>
      <c r="F52" s="56"/>
      <c r="G52" s="56"/>
      <c r="H52" s="56"/>
      <c r="I52" s="56"/>
      <c r="J52" s="21"/>
      <c r="K52" s="56"/>
      <c r="M52" s="257"/>
      <c r="N52" s="258"/>
      <c r="O52" s="259"/>
      <c r="P52" s="259"/>
      <c r="Q52" s="260"/>
      <c r="R52" s="259"/>
      <c r="S52" s="259"/>
      <c r="T52" s="259"/>
      <c r="U52" s="261" t="str">
        <f t="shared" si="0"/>
        <v/>
      </c>
      <c r="V52" s="259"/>
      <c r="W52" s="259"/>
      <c r="X52" s="259"/>
      <c r="Y52" s="259"/>
      <c r="Z52" s="262"/>
      <c r="AA52" s="263" t="str">
        <f t="shared" si="1"/>
        <v/>
      </c>
      <c r="AB52" s="264" t="str">
        <f t="shared" si="2"/>
        <v/>
      </c>
      <c r="AC52" s="258"/>
      <c r="AD52" s="259"/>
      <c r="AE52" s="259"/>
      <c r="AF52" s="265"/>
      <c r="AG52" s="266" t="str">
        <f t="shared" si="3"/>
        <v/>
      </c>
      <c r="AH52" s="261" t="str">
        <f t="shared" si="4"/>
        <v/>
      </c>
      <c r="AI52" s="267" t="str">
        <f t="shared" si="5"/>
        <v/>
      </c>
      <c r="AJ52" s="259"/>
      <c r="AK52" s="259"/>
      <c r="AL52" s="259"/>
      <c r="AM52" s="260"/>
      <c r="AN52" s="260"/>
      <c r="AO52" s="260"/>
    </row>
    <row r="53" spans="1:41" x14ac:dyDescent="0.25">
      <c r="A53" s="54"/>
      <c r="B53" s="56"/>
      <c r="C53" s="21"/>
      <c r="D53" s="21"/>
      <c r="E53" s="21"/>
      <c r="F53" s="56"/>
      <c r="G53" s="56"/>
      <c r="H53" s="56"/>
      <c r="I53" s="56"/>
      <c r="J53" s="21"/>
      <c r="K53" s="56"/>
      <c r="M53" s="257"/>
      <c r="N53" s="258"/>
      <c r="O53" s="259"/>
      <c r="P53" s="259"/>
      <c r="Q53" s="260"/>
      <c r="R53" s="259"/>
      <c r="S53" s="259"/>
      <c r="T53" s="259"/>
      <c r="U53" s="261" t="str">
        <f t="shared" si="0"/>
        <v/>
      </c>
      <c r="V53" s="259"/>
      <c r="W53" s="259"/>
      <c r="X53" s="259"/>
      <c r="Y53" s="259"/>
      <c r="Z53" s="262"/>
      <c r="AA53" s="263" t="str">
        <f t="shared" si="1"/>
        <v/>
      </c>
      <c r="AB53" s="264" t="str">
        <f t="shared" si="2"/>
        <v/>
      </c>
      <c r="AC53" s="258"/>
      <c r="AD53" s="259"/>
      <c r="AE53" s="259"/>
      <c r="AF53" s="265"/>
      <c r="AG53" s="266" t="str">
        <f t="shared" si="3"/>
        <v/>
      </c>
      <c r="AH53" s="261" t="str">
        <f t="shared" si="4"/>
        <v/>
      </c>
      <c r="AI53" s="267" t="str">
        <f t="shared" si="5"/>
        <v/>
      </c>
      <c r="AJ53" s="259"/>
      <c r="AK53" s="259"/>
      <c r="AL53" s="259"/>
      <c r="AM53" s="260"/>
      <c r="AN53" s="260"/>
      <c r="AO53" s="260"/>
    </row>
    <row r="54" spans="1:41" x14ac:dyDescent="0.25">
      <c r="A54" s="54"/>
      <c r="B54" s="56"/>
      <c r="C54" s="21"/>
      <c r="D54" s="21"/>
      <c r="E54" s="21"/>
      <c r="F54" s="56"/>
      <c r="G54" s="56"/>
      <c r="H54" s="56"/>
      <c r="I54" s="56"/>
      <c r="J54" s="21"/>
      <c r="K54" s="56"/>
      <c r="M54" s="257"/>
      <c r="N54" s="258"/>
      <c r="O54" s="259"/>
      <c r="P54" s="259"/>
      <c r="Q54" s="260"/>
      <c r="R54" s="259"/>
      <c r="S54" s="259"/>
      <c r="T54" s="259"/>
      <c r="U54" s="261" t="str">
        <f t="shared" si="0"/>
        <v/>
      </c>
      <c r="V54" s="259"/>
      <c r="W54" s="259"/>
      <c r="X54" s="259"/>
      <c r="Y54" s="259"/>
      <c r="Z54" s="262"/>
      <c r="AA54" s="263" t="str">
        <f t="shared" si="1"/>
        <v/>
      </c>
      <c r="AB54" s="264" t="str">
        <f t="shared" si="2"/>
        <v/>
      </c>
      <c r="AC54" s="258"/>
      <c r="AD54" s="259"/>
      <c r="AE54" s="259"/>
      <c r="AF54" s="265"/>
      <c r="AG54" s="266" t="str">
        <f t="shared" si="3"/>
        <v/>
      </c>
      <c r="AH54" s="261" t="str">
        <f t="shared" si="4"/>
        <v/>
      </c>
      <c r="AI54" s="267" t="str">
        <f t="shared" si="5"/>
        <v/>
      </c>
      <c r="AJ54" s="259"/>
      <c r="AK54" s="259"/>
      <c r="AL54" s="259"/>
      <c r="AM54" s="260"/>
      <c r="AN54" s="260"/>
      <c r="AO54" s="260"/>
    </row>
    <row r="55" spans="1:41" x14ac:dyDescent="0.25">
      <c r="A55" s="54"/>
      <c r="B55" s="56"/>
      <c r="C55" s="21"/>
      <c r="D55" s="21"/>
      <c r="E55" s="21"/>
      <c r="F55" s="56"/>
      <c r="G55" s="56"/>
      <c r="H55" s="56"/>
      <c r="I55" s="56"/>
      <c r="J55" s="21"/>
      <c r="K55" s="56"/>
      <c r="M55" s="257"/>
      <c r="N55" s="258"/>
      <c r="O55" s="259"/>
      <c r="P55" s="259"/>
      <c r="Q55" s="260"/>
      <c r="R55" s="259"/>
      <c r="S55" s="259"/>
      <c r="T55" s="259"/>
      <c r="U55" s="261" t="str">
        <f t="shared" si="0"/>
        <v/>
      </c>
      <c r="V55" s="259"/>
      <c r="W55" s="259"/>
      <c r="X55" s="259"/>
      <c r="Y55" s="259"/>
      <c r="Z55" s="262"/>
      <c r="AA55" s="263" t="str">
        <f t="shared" si="1"/>
        <v/>
      </c>
      <c r="AB55" s="264" t="str">
        <f t="shared" si="2"/>
        <v/>
      </c>
      <c r="AC55" s="258"/>
      <c r="AD55" s="259"/>
      <c r="AE55" s="259"/>
      <c r="AF55" s="265"/>
      <c r="AG55" s="266" t="str">
        <f t="shared" si="3"/>
        <v/>
      </c>
      <c r="AH55" s="261" t="str">
        <f t="shared" si="4"/>
        <v/>
      </c>
      <c r="AI55" s="267" t="str">
        <f t="shared" si="5"/>
        <v/>
      </c>
      <c r="AJ55" s="259"/>
      <c r="AK55" s="259"/>
      <c r="AL55" s="259"/>
      <c r="AM55" s="260"/>
      <c r="AN55" s="260"/>
      <c r="AO55" s="260"/>
    </row>
    <row r="56" spans="1:41" x14ac:dyDescent="0.25">
      <c r="M56" s="257"/>
      <c r="N56" s="258"/>
      <c r="O56" s="259"/>
      <c r="P56" s="259"/>
      <c r="Q56" s="260"/>
      <c r="R56" s="259"/>
      <c r="S56" s="259"/>
      <c r="T56" s="259"/>
      <c r="U56" s="261" t="str">
        <f t="shared" si="0"/>
        <v/>
      </c>
      <c r="V56" s="259"/>
      <c r="W56" s="259"/>
      <c r="X56" s="259"/>
      <c r="Y56" s="259"/>
      <c r="Z56" s="262"/>
      <c r="AA56" s="263" t="str">
        <f t="shared" si="1"/>
        <v/>
      </c>
      <c r="AB56" s="264" t="str">
        <f t="shared" si="2"/>
        <v/>
      </c>
      <c r="AC56" s="258"/>
      <c r="AD56" s="259"/>
      <c r="AE56" s="259"/>
      <c r="AF56" s="265"/>
      <c r="AG56" s="266" t="str">
        <f t="shared" si="3"/>
        <v/>
      </c>
      <c r="AH56" s="261" t="str">
        <f t="shared" si="4"/>
        <v/>
      </c>
      <c r="AI56" s="267" t="str">
        <f t="shared" si="5"/>
        <v/>
      </c>
      <c r="AJ56" s="259"/>
      <c r="AK56" s="259"/>
      <c r="AL56" s="259"/>
      <c r="AM56" s="260"/>
      <c r="AN56" s="260"/>
      <c r="AO56" s="260"/>
    </row>
    <row r="57" spans="1:41" x14ac:dyDescent="0.25">
      <c r="M57" s="257"/>
      <c r="N57" s="258"/>
      <c r="O57" s="259"/>
      <c r="P57" s="259"/>
      <c r="Q57" s="260"/>
      <c r="R57" s="259"/>
      <c r="S57" s="259"/>
      <c r="T57" s="259"/>
      <c r="U57" s="261" t="str">
        <f t="shared" si="0"/>
        <v/>
      </c>
      <c r="V57" s="259"/>
      <c r="W57" s="259"/>
      <c r="X57" s="259"/>
      <c r="Y57" s="259"/>
      <c r="Z57" s="262"/>
      <c r="AA57" s="263" t="str">
        <f t="shared" si="1"/>
        <v/>
      </c>
      <c r="AB57" s="264" t="str">
        <f t="shared" si="2"/>
        <v/>
      </c>
      <c r="AC57" s="258"/>
      <c r="AD57" s="259"/>
      <c r="AE57" s="259"/>
      <c r="AF57" s="265"/>
      <c r="AG57" s="266" t="str">
        <f t="shared" si="3"/>
        <v/>
      </c>
      <c r="AH57" s="261" t="str">
        <f t="shared" si="4"/>
        <v/>
      </c>
      <c r="AI57" s="267" t="str">
        <f t="shared" si="5"/>
        <v/>
      </c>
      <c r="AJ57" s="259"/>
      <c r="AK57" s="259"/>
      <c r="AL57" s="259"/>
      <c r="AM57" s="260"/>
      <c r="AN57" s="260"/>
      <c r="AO57" s="260"/>
    </row>
    <row r="58" spans="1:41" x14ac:dyDescent="0.25">
      <c r="M58" s="257"/>
      <c r="N58" s="258"/>
      <c r="O58" s="259"/>
      <c r="P58" s="259"/>
      <c r="Q58" s="260"/>
      <c r="R58" s="259"/>
      <c r="S58" s="259"/>
      <c r="T58" s="259"/>
      <c r="U58" s="261" t="str">
        <f t="shared" si="0"/>
        <v/>
      </c>
      <c r="V58" s="259"/>
      <c r="W58" s="259"/>
      <c r="X58" s="259"/>
      <c r="Y58" s="259"/>
      <c r="Z58" s="262"/>
      <c r="AA58" s="263" t="str">
        <f t="shared" si="1"/>
        <v/>
      </c>
      <c r="AB58" s="264" t="str">
        <f t="shared" si="2"/>
        <v/>
      </c>
      <c r="AC58" s="258"/>
      <c r="AD58" s="259"/>
      <c r="AE58" s="259"/>
      <c r="AF58" s="265"/>
      <c r="AG58" s="266" t="str">
        <f t="shared" si="3"/>
        <v/>
      </c>
      <c r="AH58" s="261" t="str">
        <f t="shared" si="4"/>
        <v/>
      </c>
      <c r="AI58" s="267" t="str">
        <f t="shared" si="5"/>
        <v/>
      </c>
      <c r="AJ58" s="259"/>
      <c r="AK58" s="259"/>
      <c r="AL58" s="259"/>
      <c r="AM58" s="260"/>
      <c r="AN58" s="260"/>
      <c r="AO58" s="260"/>
    </row>
    <row r="59" spans="1:41" x14ac:dyDescent="0.25">
      <c r="M59" s="257"/>
      <c r="N59" s="258"/>
      <c r="O59" s="259"/>
      <c r="P59" s="259"/>
      <c r="Q59" s="260"/>
      <c r="R59" s="259"/>
      <c r="S59" s="259"/>
      <c r="T59" s="259"/>
      <c r="U59" s="261" t="str">
        <f t="shared" si="0"/>
        <v/>
      </c>
      <c r="V59" s="259"/>
      <c r="W59" s="259"/>
      <c r="X59" s="259"/>
      <c r="Y59" s="259"/>
      <c r="Z59" s="262"/>
      <c r="AA59" s="263" t="str">
        <f t="shared" si="1"/>
        <v/>
      </c>
      <c r="AB59" s="264" t="str">
        <f t="shared" si="2"/>
        <v/>
      </c>
      <c r="AC59" s="258"/>
      <c r="AD59" s="259"/>
      <c r="AE59" s="259"/>
      <c r="AF59" s="265"/>
      <c r="AG59" s="266" t="str">
        <f t="shared" si="3"/>
        <v/>
      </c>
      <c r="AH59" s="261" t="str">
        <f t="shared" si="4"/>
        <v/>
      </c>
      <c r="AI59" s="267" t="str">
        <f t="shared" si="5"/>
        <v/>
      </c>
      <c r="AJ59" s="259"/>
      <c r="AK59" s="259"/>
      <c r="AL59" s="259"/>
      <c r="AM59" s="260"/>
      <c r="AN59" s="260"/>
      <c r="AO59" s="260"/>
    </row>
    <row r="60" spans="1:41" x14ac:dyDescent="0.25">
      <c r="M60" s="257"/>
      <c r="N60" s="258"/>
      <c r="O60" s="259"/>
      <c r="P60" s="259"/>
      <c r="Q60" s="260"/>
      <c r="R60" s="259"/>
      <c r="S60" s="259"/>
      <c r="T60" s="259"/>
      <c r="U60" s="261" t="str">
        <f t="shared" si="0"/>
        <v/>
      </c>
      <c r="V60" s="259"/>
      <c r="W60" s="259"/>
      <c r="X60" s="259"/>
      <c r="Y60" s="259"/>
      <c r="Z60" s="262"/>
      <c r="AA60" s="263" t="str">
        <f t="shared" si="1"/>
        <v/>
      </c>
      <c r="AB60" s="264" t="str">
        <f t="shared" si="2"/>
        <v/>
      </c>
      <c r="AC60" s="258"/>
      <c r="AD60" s="259"/>
      <c r="AE60" s="259"/>
      <c r="AF60" s="265"/>
      <c r="AG60" s="266" t="str">
        <f t="shared" si="3"/>
        <v/>
      </c>
      <c r="AH60" s="261" t="str">
        <f t="shared" si="4"/>
        <v/>
      </c>
      <c r="AI60" s="267" t="str">
        <f t="shared" si="5"/>
        <v/>
      </c>
      <c r="AJ60" s="259"/>
      <c r="AK60" s="259"/>
      <c r="AL60" s="259"/>
      <c r="AM60" s="260"/>
      <c r="AN60" s="260"/>
      <c r="AO60" s="260"/>
    </row>
    <row r="61" spans="1:41" x14ac:dyDescent="0.25">
      <c r="M61" s="257"/>
      <c r="N61" s="258"/>
      <c r="O61" s="259"/>
      <c r="P61" s="259"/>
      <c r="Q61" s="260"/>
      <c r="R61" s="259"/>
      <c r="S61" s="259"/>
      <c r="T61" s="259"/>
      <c r="U61" s="261" t="str">
        <f t="shared" si="0"/>
        <v/>
      </c>
      <c r="V61" s="259"/>
      <c r="W61" s="259"/>
      <c r="X61" s="259"/>
      <c r="Y61" s="259"/>
      <c r="Z61" s="262"/>
      <c r="AA61" s="263" t="str">
        <f t="shared" si="1"/>
        <v/>
      </c>
      <c r="AB61" s="264" t="str">
        <f t="shared" si="2"/>
        <v/>
      </c>
      <c r="AC61" s="258"/>
      <c r="AD61" s="259"/>
      <c r="AE61" s="259"/>
      <c r="AF61" s="265"/>
      <c r="AG61" s="266" t="str">
        <f t="shared" si="3"/>
        <v/>
      </c>
      <c r="AH61" s="261" t="str">
        <f t="shared" si="4"/>
        <v/>
      </c>
      <c r="AI61" s="267" t="str">
        <f t="shared" si="5"/>
        <v/>
      </c>
      <c r="AJ61" s="259"/>
      <c r="AK61" s="259"/>
      <c r="AL61" s="259"/>
      <c r="AM61" s="260"/>
      <c r="AN61" s="260"/>
      <c r="AO61" s="260"/>
    </row>
    <row r="62" spans="1:41" x14ac:dyDescent="0.25">
      <c r="M62" s="257"/>
      <c r="N62" s="258"/>
      <c r="O62" s="259"/>
      <c r="P62" s="259"/>
      <c r="Q62" s="260"/>
      <c r="R62" s="259"/>
      <c r="S62" s="259"/>
      <c r="T62" s="259"/>
      <c r="U62" s="261" t="str">
        <f t="shared" si="0"/>
        <v/>
      </c>
      <c r="V62" s="259"/>
      <c r="W62" s="259"/>
      <c r="X62" s="259"/>
      <c r="Y62" s="259"/>
      <c r="Z62" s="262"/>
      <c r="AA62" s="263" t="str">
        <f t="shared" si="1"/>
        <v/>
      </c>
      <c r="AB62" s="264" t="str">
        <f t="shared" si="2"/>
        <v/>
      </c>
      <c r="AC62" s="258"/>
      <c r="AD62" s="259"/>
      <c r="AE62" s="259"/>
      <c r="AF62" s="265"/>
      <c r="AG62" s="266" t="str">
        <f t="shared" si="3"/>
        <v/>
      </c>
      <c r="AH62" s="261" t="str">
        <f t="shared" si="4"/>
        <v/>
      </c>
      <c r="AI62" s="267" t="str">
        <f t="shared" si="5"/>
        <v/>
      </c>
      <c r="AJ62" s="259"/>
      <c r="AK62" s="259"/>
      <c r="AL62" s="259"/>
      <c r="AM62" s="260"/>
      <c r="AN62" s="260"/>
      <c r="AO62" s="260"/>
    </row>
    <row r="63" spans="1:41" x14ac:dyDescent="0.25">
      <c r="M63" s="257"/>
      <c r="N63" s="258"/>
      <c r="O63" s="259"/>
      <c r="P63" s="259"/>
      <c r="Q63" s="260"/>
      <c r="R63" s="259"/>
      <c r="S63" s="259"/>
      <c r="T63" s="259"/>
      <c r="U63" s="261" t="str">
        <f t="shared" si="0"/>
        <v/>
      </c>
      <c r="V63" s="259"/>
      <c r="W63" s="259"/>
      <c r="X63" s="259"/>
      <c r="Y63" s="259"/>
      <c r="Z63" s="262"/>
      <c r="AA63" s="263" t="str">
        <f t="shared" si="1"/>
        <v/>
      </c>
      <c r="AB63" s="264" t="str">
        <f t="shared" si="2"/>
        <v/>
      </c>
      <c r="AC63" s="258"/>
      <c r="AD63" s="259"/>
      <c r="AE63" s="259"/>
      <c r="AF63" s="265"/>
      <c r="AG63" s="266" t="str">
        <f t="shared" si="3"/>
        <v/>
      </c>
      <c r="AH63" s="261" t="str">
        <f t="shared" si="4"/>
        <v/>
      </c>
      <c r="AI63" s="267" t="str">
        <f t="shared" si="5"/>
        <v/>
      </c>
      <c r="AJ63" s="259"/>
      <c r="AK63" s="259"/>
      <c r="AL63" s="259"/>
      <c r="AM63" s="260"/>
      <c r="AN63" s="260"/>
      <c r="AO63" s="260"/>
    </row>
    <row r="64" spans="1:41" x14ac:dyDescent="0.25">
      <c r="M64" s="257"/>
      <c r="N64" s="258"/>
      <c r="O64" s="259"/>
      <c r="P64" s="259"/>
      <c r="Q64" s="260"/>
      <c r="R64" s="259"/>
      <c r="S64" s="259"/>
      <c r="T64" s="259"/>
      <c r="U64" s="261" t="str">
        <f t="shared" si="0"/>
        <v/>
      </c>
      <c r="V64" s="259"/>
      <c r="W64" s="259"/>
      <c r="X64" s="259"/>
      <c r="Y64" s="259"/>
      <c r="Z64" s="262"/>
      <c r="AA64" s="263" t="str">
        <f t="shared" si="1"/>
        <v/>
      </c>
      <c r="AB64" s="264" t="str">
        <f t="shared" si="2"/>
        <v/>
      </c>
      <c r="AC64" s="258"/>
      <c r="AD64" s="259"/>
      <c r="AE64" s="259"/>
      <c r="AF64" s="265"/>
      <c r="AG64" s="266" t="str">
        <f t="shared" si="3"/>
        <v/>
      </c>
      <c r="AH64" s="261" t="str">
        <f t="shared" si="4"/>
        <v/>
      </c>
      <c r="AI64" s="267" t="str">
        <f t="shared" si="5"/>
        <v/>
      </c>
      <c r="AJ64" s="259"/>
      <c r="AK64" s="259"/>
      <c r="AL64" s="259"/>
      <c r="AM64" s="260"/>
      <c r="AN64" s="260"/>
      <c r="AO64" s="260"/>
    </row>
    <row r="65" spans="13:41" x14ac:dyDescent="0.25">
      <c r="M65" s="257"/>
      <c r="N65" s="258"/>
      <c r="O65" s="259"/>
      <c r="P65" s="259"/>
      <c r="Q65" s="260"/>
      <c r="R65" s="259"/>
      <c r="S65" s="259"/>
      <c r="T65" s="259"/>
      <c r="U65" s="261" t="str">
        <f t="shared" si="0"/>
        <v/>
      </c>
      <c r="V65" s="259"/>
      <c r="W65" s="259"/>
      <c r="X65" s="259"/>
      <c r="Y65" s="259"/>
      <c r="Z65" s="262"/>
      <c r="AA65" s="263" t="str">
        <f t="shared" si="1"/>
        <v/>
      </c>
      <c r="AB65" s="264" t="str">
        <f t="shared" si="2"/>
        <v/>
      </c>
      <c r="AC65" s="258"/>
      <c r="AD65" s="259"/>
      <c r="AE65" s="259"/>
      <c r="AF65" s="265"/>
      <c r="AG65" s="266" t="str">
        <f t="shared" si="3"/>
        <v/>
      </c>
      <c r="AH65" s="261" t="str">
        <f t="shared" si="4"/>
        <v/>
      </c>
      <c r="AI65" s="267" t="str">
        <f t="shared" si="5"/>
        <v/>
      </c>
      <c r="AJ65" s="259"/>
      <c r="AK65" s="259"/>
      <c r="AL65" s="259"/>
      <c r="AM65" s="260"/>
      <c r="AN65" s="260"/>
      <c r="AO65" s="260"/>
    </row>
    <row r="66" spans="13:41" x14ac:dyDescent="0.25">
      <c r="M66" s="257"/>
      <c r="N66" s="258"/>
      <c r="O66" s="259"/>
      <c r="P66" s="259"/>
      <c r="Q66" s="260"/>
      <c r="R66" s="259"/>
      <c r="S66" s="259"/>
      <c r="T66" s="259"/>
      <c r="U66" s="261" t="str">
        <f t="shared" si="0"/>
        <v/>
      </c>
      <c r="V66" s="259"/>
      <c r="W66" s="259"/>
      <c r="X66" s="259"/>
      <c r="Y66" s="259"/>
      <c r="Z66" s="262"/>
      <c r="AA66" s="263" t="str">
        <f t="shared" si="1"/>
        <v/>
      </c>
      <c r="AB66" s="264" t="str">
        <f t="shared" si="2"/>
        <v/>
      </c>
      <c r="AC66" s="258"/>
      <c r="AD66" s="259"/>
      <c r="AE66" s="259"/>
      <c r="AF66" s="265"/>
      <c r="AG66" s="266" t="str">
        <f t="shared" si="3"/>
        <v/>
      </c>
      <c r="AH66" s="261" t="str">
        <f t="shared" si="4"/>
        <v/>
      </c>
      <c r="AI66" s="267" t="str">
        <f t="shared" si="5"/>
        <v/>
      </c>
      <c r="AJ66" s="259"/>
      <c r="AK66" s="259"/>
      <c r="AL66" s="259"/>
      <c r="AM66" s="260"/>
      <c r="AN66" s="260"/>
      <c r="AO66" s="260"/>
    </row>
    <row r="67" spans="13:41" x14ac:dyDescent="0.25">
      <c r="M67" s="257"/>
      <c r="N67" s="258"/>
      <c r="O67" s="259"/>
      <c r="P67" s="259"/>
      <c r="Q67" s="260"/>
      <c r="R67" s="259"/>
      <c r="S67" s="259"/>
      <c r="T67" s="259"/>
      <c r="U67" s="261" t="str">
        <f t="shared" si="0"/>
        <v/>
      </c>
      <c r="V67" s="259"/>
      <c r="W67" s="259"/>
      <c r="X67" s="259"/>
      <c r="Y67" s="259"/>
      <c r="Z67" s="262"/>
      <c r="AA67" s="263" t="str">
        <f t="shared" si="1"/>
        <v/>
      </c>
      <c r="AB67" s="264" t="str">
        <f t="shared" si="2"/>
        <v/>
      </c>
      <c r="AC67" s="258"/>
      <c r="AD67" s="259"/>
      <c r="AE67" s="259"/>
      <c r="AF67" s="265"/>
      <c r="AG67" s="266" t="str">
        <f t="shared" si="3"/>
        <v/>
      </c>
      <c r="AH67" s="261" t="str">
        <f t="shared" si="4"/>
        <v/>
      </c>
      <c r="AI67" s="267" t="str">
        <f t="shared" si="5"/>
        <v/>
      </c>
      <c r="AJ67" s="259"/>
      <c r="AK67" s="259"/>
      <c r="AL67" s="259"/>
      <c r="AM67" s="260"/>
      <c r="AN67" s="260"/>
      <c r="AO67" s="260"/>
    </row>
    <row r="68" spans="13:41" x14ac:dyDescent="0.25">
      <c r="M68" s="257"/>
      <c r="N68" s="258"/>
      <c r="O68" s="259"/>
      <c r="P68" s="259"/>
      <c r="Q68" s="260"/>
      <c r="R68" s="259"/>
      <c r="S68" s="259"/>
      <c r="T68" s="259"/>
      <c r="U68" s="261" t="str">
        <f t="shared" si="0"/>
        <v/>
      </c>
      <c r="V68" s="259"/>
      <c r="W68" s="259"/>
      <c r="X68" s="259"/>
      <c r="Y68" s="259"/>
      <c r="Z68" s="262"/>
      <c r="AA68" s="263" t="str">
        <f t="shared" si="1"/>
        <v/>
      </c>
      <c r="AB68" s="264" t="str">
        <f t="shared" si="2"/>
        <v/>
      </c>
      <c r="AC68" s="258"/>
      <c r="AD68" s="259"/>
      <c r="AE68" s="259"/>
      <c r="AF68" s="265"/>
      <c r="AG68" s="266" t="str">
        <f t="shared" si="3"/>
        <v/>
      </c>
      <c r="AH68" s="261" t="str">
        <f t="shared" si="4"/>
        <v/>
      </c>
      <c r="AI68" s="267" t="str">
        <f t="shared" si="5"/>
        <v/>
      </c>
      <c r="AJ68" s="259"/>
      <c r="AK68" s="259"/>
      <c r="AL68" s="259"/>
      <c r="AM68" s="260"/>
      <c r="AN68" s="260"/>
      <c r="AO68" s="260"/>
    </row>
    <row r="69" spans="13:41" x14ac:dyDescent="0.25">
      <c r="M69" s="257"/>
      <c r="N69" s="258"/>
      <c r="O69" s="259"/>
      <c r="P69" s="259"/>
      <c r="Q69" s="260"/>
      <c r="R69" s="259"/>
      <c r="S69" s="259"/>
      <c r="T69" s="259"/>
      <c r="U69" s="261" t="str">
        <f t="shared" ref="U69:U132" si="6">IF(OR(P69="",T69=""),"",IF(OR(AND(P69="Long",T69="LONG"),AND(P69="Short",T69="SHORT")),"WITH",IF(OR(T69="LONG",T69="SHORT"),"AGAINST","NO PERMISSION")))</f>
        <v/>
      </c>
      <c r="V69" s="259"/>
      <c r="W69" s="259"/>
      <c r="X69" s="259"/>
      <c r="Y69" s="259"/>
      <c r="Z69" s="262"/>
      <c r="AA69" s="263" t="str">
        <f t="shared" ref="AA69:AA132" si="7">IF(OR(Z69="",$N$3=""),"",Z69/$N$3)</f>
        <v/>
      </c>
      <c r="AB69" s="264" t="str">
        <f t="shared" ref="AB69:AB132" si="8">IF(COUNT(V69,W69,X69)&lt;3,"",IFERROR(ABS(X69-V69)/ABS(V69-W69),""))</f>
        <v/>
      </c>
      <c r="AC69" s="258"/>
      <c r="AD69" s="259"/>
      <c r="AE69" s="259"/>
      <c r="AF69" s="265"/>
      <c r="AG69" s="266" t="str">
        <f t="shared" ref="AG69:AG132" si="9">IF(OR(AF69="",Z69=""),"",IFERROR(AF69/Z69,""))</f>
        <v/>
      </c>
      <c r="AH69" s="261" t="str">
        <f t="shared" ref="AH69:AH132" si="10">IF(N69="","",IF(AF69="","OPEN",IF(AF69&gt;0,"WIN",IF(AF69&lt;0,"LOSS","BE"))))</f>
        <v/>
      </c>
      <c r="AI69" s="267" t="str">
        <f t="shared" ref="AI69:AI132" si="11">IF(OR(N69="",AC69=""),"",AC69-N69)</f>
        <v/>
      </c>
      <c r="AJ69" s="259"/>
      <c r="AK69" s="259"/>
      <c r="AL69" s="259"/>
      <c r="AM69" s="260"/>
      <c r="AN69" s="260"/>
      <c r="AO69" s="260"/>
    </row>
    <row r="70" spans="13:41" x14ac:dyDescent="0.25">
      <c r="M70" s="257"/>
      <c r="N70" s="258"/>
      <c r="O70" s="259"/>
      <c r="P70" s="259"/>
      <c r="Q70" s="260"/>
      <c r="R70" s="259"/>
      <c r="S70" s="259"/>
      <c r="T70" s="259"/>
      <c r="U70" s="261" t="str">
        <f t="shared" si="6"/>
        <v/>
      </c>
      <c r="V70" s="259"/>
      <c r="W70" s="259"/>
      <c r="X70" s="259"/>
      <c r="Y70" s="259"/>
      <c r="Z70" s="262"/>
      <c r="AA70" s="263" t="str">
        <f t="shared" si="7"/>
        <v/>
      </c>
      <c r="AB70" s="264" t="str">
        <f t="shared" si="8"/>
        <v/>
      </c>
      <c r="AC70" s="258"/>
      <c r="AD70" s="259"/>
      <c r="AE70" s="259"/>
      <c r="AF70" s="265"/>
      <c r="AG70" s="266" t="str">
        <f t="shared" si="9"/>
        <v/>
      </c>
      <c r="AH70" s="261" t="str">
        <f t="shared" si="10"/>
        <v/>
      </c>
      <c r="AI70" s="267" t="str">
        <f t="shared" si="11"/>
        <v/>
      </c>
      <c r="AJ70" s="259"/>
      <c r="AK70" s="259"/>
      <c r="AL70" s="259"/>
      <c r="AM70" s="260"/>
      <c r="AN70" s="260"/>
      <c r="AO70" s="260"/>
    </row>
    <row r="71" spans="13:41" x14ac:dyDescent="0.25">
      <c r="M71" s="257"/>
      <c r="N71" s="258"/>
      <c r="O71" s="259"/>
      <c r="P71" s="259"/>
      <c r="Q71" s="260"/>
      <c r="R71" s="259"/>
      <c r="S71" s="259"/>
      <c r="T71" s="259"/>
      <c r="U71" s="261" t="str">
        <f t="shared" si="6"/>
        <v/>
      </c>
      <c r="V71" s="259"/>
      <c r="W71" s="259"/>
      <c r="X71" s="259"/>
      <c r="Y71" s="259"/>
      <c r="Z71" s="262"/>
      <c r="AA71" s="263" t="str">
        <f t="shared" si="7"/>
        <v/>
      </c>
      <c r="AB71" s="264" t="str">
        <f t="shared" si="8"/>
        <v/>
      </c>
      <c r="AC71" s="258"/>
      <c r="AD71" s="259"/>
      <c r="AE71" s="259"/>
      <c r="AF71" s="265"/>
      <c r="AG71" s="266" t="str">
        <f t="shared" si="9"/>
        <v/>
      </c>
      <c r="AH71" s="261" t="str">
        <f t="shared" si="10"/>
        <v/>
      </c>
      <c r="AI71" s="267" t="str">
        <f t="shared" si="11"/>
        <v/>
      </c>
      <c r="AJ71" s="259"/>
      <c r="AK71" s="259"/>
      <c r="AL71" s="259"/>
      <c r="AM71" s="260"/>
      <c r="AN71" s="260"/>
      <c r="AO71" s="260"/>
    </row>
    <row r="72" spans="13:41" x14ac:dyDescent="0.25">
      <c r="M72" s="257"/>
      <c r="N72" s="258"/>
      <c r="O72" s="259"/>
      <c r="P72" s="259"/>
      <c r="Q72" s="260"/>
      <c r="R72" s="259"/>
      <c r="S72" s="259"/>
      <c r="T72" s="259"/>
      <c r="U72" s="261" t="str">
        <f t="shared" si="6"/>
        <v/>
      </c>
      <c r="V72" s="259"/>
      <c r="W72" s="259"/>
      <c r="X72" s="259"/>
      <c r="Y72" s="259"/>
      <c r="Z72" s="262"/>
      <c r="AA72" s="263" t="str">
        <f t="shared" si="7"/>
        <v/>
      </c>
      <c r="AB72" s="264" t="str">
        <f t="shared" si="8"/>
        <v/>
      </c>
      <c r="AC72" s="258"/>
      <c r="AD72" s="259"/>
      <c r="AE72" s="259"/>
      <c r="AF72" s="265"/>
      <c r="AG72" s="266" t="str">
        <f t="shared" si="9"/>
        <v/>
      </c>
      <c r="AH72" s="261" t="str">
        <f t="shared" si="10"/>
        <v/>
      </c>
      <c r="AI72" s="267" t="str">
        <f t="shared" si="11"/>
        <v/>
      </c>
      <c r="AJ72" s="259"/>
      <c r="AK72" s="259"/>
      <c r="AL72" s="259"/>
      <c r="AM72" s="260"/>
      <c r="AN72" s="260"/>
      <c r="AO72" s="260"/>
    </row>
    <row r="73" spans="13:41" x14ac:dyDescent="0.25">
      <c r="M73" s="257"/>
      <c r="N73" s="258"/>
      <c r="O73" s="259"/>
      <c r="P73" s="259"/>
      <c r="Q73" s="260"/>
      <c r="R73" s="259"/>
      <c r="S73" s="259"/>
      <c r="T73" s="259"/>
      <c r="U73" s="261" t="str">
        <f t="shared" si="6"/>
        <v/>
      </c>
      <c r="V73" s="259"/>
      <c r="W73" s="259"/>
      <c r="X73" s="259"/>
      <c r="Y73" s="259"/>
      <c r="Z73" s="262"/>
      <c r="AA73" s="263" t="str">
        <f t="shared" si="7"/>
        <v/>
      </c>
      <c r="AB73" s="264" t="str">
        <f t="shared" si="8"/>
        <v/>
      </c>
      <c r="AC73" s="258"/>
      <c r="AD73" s="259"/>
      <c r="AE73" s="259"/>
      <c r="AF73" s="265"/>
      <c r="AG73" s="266" t="str">
        <f t="shared" si="9"/>
        <v/>
      </c>
      <c r="AH73" s="261" t="str">
        <f t="shared" si="10"/>
        <v/>
      </c>
      <c r="AI73" s="267" t="str">
        <f t="shared" si="11"/>
        <v/>
      </c>
      <c r="AJ73" s="259"/>
      <c r="AK73" s="259"/>
      <c r="AL73" s="259"/>
      <c r="AM73" s="260"/>
      <c r="AN73" s="260"/>
      <c r="AO73" s="260"/>
    </row>
    <row r="74" spans="13:41" x14ac:dyDescent="0.25">
      <c r="M74" s="257"/>
      <c r="N74" s="258"/>
      <c r="O74" s="259"/>
      <c r="P74" s="259"/>
      <c r="Q74" s="260"/>
      <c r="R74" s="259"/>
      <c r="S74" s="259"/>
      <c r="T74" s="259"/>
      <c r="U74" s="261" t="str">
        <f t="shared" si="6"/>
        <v/>
      </c>
      <c r="V74" s="259"/>
      <c r="W74" s="259"/>
      <c r="X74" s="259"/>
      <c r="Y74" s="259"/>
      <c r="Z74" s="262"/>
      <c r="AA74" s="263" t="str">
        <f t="shared" si="7"/>
        <v/>
      </c>
      <c r="AB74" s="264" t="str">
        <f t="shared" si="8"/>
        <v/>
      </c>
      <c r="AC74" s="258"/>
      <c r="AD74" s="259"/>
      <c r="AE74" s="259"/>
      <c r="AF74" s="265"/>
      <c r="AG74" s="266" t="str">
        <f t="shared" si="9"/>
        <v/>
      </c>
      <c r="AH74" s="261" t="str">
        <f t="shared" si="10"/>
        <v/>
      </c>
      <c r="AI74" s="267" t="str">
        <f t="shared" si="11"/>
        <v/>
      </c>
      <c r="AJ74" s="259"/>
      <c r="AK74" s="259"/>
      <c r="AL74" s="259"/>
      <c r="AM74" s="260"/>
      <c r="AN74" s="260"/>
      <c r="AO74" s="260"/>
    </row>
    <row r="75" spans="13:41" x14ac:dyDescent="0.25">
      <c r="M75" s="257"/>
      <c r="N75" s="258"/>
      <c r="O75" s="259"/>
      <c r="P75" s="259"/>
      <c r="Q75" s="260"/>
      <c r="R75" s="259"/>
      <c r="S75" s="259"/>
      <c r="T75" s="259"/>
      <c r="U75" s="261" t="str">
        <f t="shared" si="6"/>
        <v/>
      </c>
      <c r="V75" s="259"/>
      <c r="W75" s="259"/>
      <c r="X75" s="259"/>
      <c r="Y75" s="259"/>
      <c r="Z75" s="262"/>
      <c r="AA75" s="263" t="str">
        <f t="shared" si="7"/>
        <v/>
      </c>
      <c r="AB75" s="264" t="str">
        <f t="shared" si="8"/>
        <v/>
      </c>
      <c r="AC75" s="258"/>
      <c r="AD75" s="259"/>
      <c r="AE75" s="259"/>
      <c r="AF75" s="265"/>
      <c r="AG75" s="266" t="str">
        <f t="shared" si="9"/>
        <v/>
      </c>
      <c r="AH75" s="261" t="str">
        <f t="shared" si="10"/>
        <v/>
      </c>
      <c r="AI75" s="267" t="str">
        <f t="shared" si="11"/>
        <v/>
      </c>
      <c r="AJ75" s="259"/>
      <c r="AK75" s="259"/>
      <c r="AL75" s="259"/>
      <c r="AM75" s="260"/>
      <c r="AN75" s="260"/>
      <c r="AO75" s="260"/>
    </row>
    <row r="76" spans="13:41" x14ac:dyDescent="0.25">
      <c r="M76" s="257"/>
      <c r="N76" s="258"/>
      <c r="O76" s="259"/>
      <c r="P76" s="259"/>
      <c r="Q76" s="260"/>
      <c r="R76" s="259"/>
      <c r="S76" s="259"/>
      <c r="T76" s="259"/>
      <c r="U76" s="261" t="str">
        <f t="shared" si="6"/>
        <v/>
      </c>
      <c r="V76" s="259"/>
      <c r="W76" s="259"/>
      <c r="X76" s="259"/>
      <c r="Y76" s="259"/>
      <c r="Z76" s="262"/>
      <c r="AA76" s="263" t="str">
        <f t="shared" si="7"/>
        <v/>
      </c>
      <c r="AB76" s="264" t="str">
        <f t="shared" si="8"/>
        <v/>
      </c>
      <c r="AC76" s="258"/>
      <c r="AD76" s="259"/>
      <c r="AE76" s="259"/>
      <c r="AF76" s="265"/>
      <c r="AG76" s="266" t="str">
        <f t="shared" si="9"/>
        <v/>
      </c>
      <c r="AH76" s="261" t="str">
        <f t="shared" si="10"/>
        <v/>
      </c>
      <c r="AI76" s="267" t="str">
        <f t="shared" si="11"/>
        <v/>
      </c>
      <c r="AJ76" s="259"/>
      <c r="AK76" s="259"/>
      <c r="AL76" s="259"/>
      <c r="AM76" s="260"/>
      <c r="AN76" s="260"/>
      <c r="AO76" s="260"/>
    </row>
    <row r="77" spans="13:41" x14ac:dyDescent="0.25">
      <c r="M77" s="257"/>
      <c r="N77" s="258"/>
      <c r="O77" s="259"/>
      <c r="P77" s="259"/>
      <c r="Q77" s="260"/>
      <c r="R77" s="259"/>
      <c r="S77" s="259"/>
      <c r="T77" s="259"/>
      <c r="U77" s="261" t="str">
        <f t="shared" si="6"/>
        <v/>
      </c>
      <c r="V77" s="259"/>
      <c r="W77" s="259"/>
      <c r="X77" s="259"/>
      <c r="Y77" s="259"/>
      <c r="Z77" s="262"/>
      <c r="AA77" s="263" t="str">
        <f t="shared" si="7"/>
        <v/>
      </c>
      <c r="AB77" s="264" t="str">
        <f t="shared" si="8"/>
        <v/>
      </c>
      <c r="AC77" s="258"/>
      <c r="AD77" s="259"/>
      <c r="AE77" s="259"/>
      <c r="AF77" s="265"/>
      <c r="AG77" s="266" t="str">
        <f t="shared" si="9"/>
        <v/>
      </c>
      <c r="AH77" s="261" t="str">
        <f t="shared" si="10"/>
        <v/>
      </c>
      <c r="AI77" s="267" t="str">
        <f t="shared" si="11"/>
        <v/>
      </c>
      <c r="AJ77" s="259"/>
      <c r="AK77" s="259"/>
      <c r="AL77" s="259"/>
      <c r="AM77" s="260"/>
      <c r="AN77" s="260"/>
      <c r="AO77" s="260"/>
    </row>
    <row r="78" spans="13:41" x14ac:dyDescent="0.25">
      <c r="M78" s="257"/>
      <c r="N78" s="258"/>
      <c r="O78" s="259"/>
      <c r="P78" s="259"/>
      <c r="Q78" s="260"/>
      <c r="R78" s="259"/>
      <c r="S78" s="259"/>
      <c r="T78" s="259"/>
      <c r="U78" s="261" t="str">
        <f t="shared" si="6"/>
        <v/>
      </c>
      <c r="V78" s="259"/>
      <c r="W78" s="259"/>
      <c r="X78" s="259"/>
      <c r="Y78" s="259"/>
      <c r="Z78" s="262"/>
      <c r="AA78" s="263" t="str">
        <f t="shared" si="7"/>
        <v/>
      </c>
      <c r="AB78" s="264" t="str">
        <f t="shared" si="8"/>
        <v/>
      </c>
      <c r="AC78" s="258"/>
      <c r="AD78" s="259"/>
      <c r="AE78" s="259"/>
      <c r="AF78" s="265"/>
      <c r="AG78" s="266" t="str">
        <f t="shared" si="9"/>
        <v/>
      </c>
      <c r="AH78" s="261" t="str">
        <f t="shared" si="10"/>
        <v/>
      </c>
      <c r="AI78" s="267" t="str">
        <f t="shared" si="11"/>
        <v/>
      </c>
      <c r="AJ78" s="259"/>
      <c r="AK78" s="259"/>
      <c r="AL78" s="259"/>
      <c r="AM78" s="260"/>
      <c r="AN78" s="260"/>
      <c r="AO78" s="260"/>
    </row>
    <row r="79" spans="13:41" x14ac:dyDescent="0.25">
      <c r="M79" s="257"/>
      <c r="N79" s="258"/>
      <c r="O79" s="259"/>
      <c r="P79" s="259"/>
      <c r="Q79" s="260"/>
      <c r="R79" s="259"/>
      <c r="S79" s="259"/>
      <c r="T79" s="259"/>
      <c r="U79" s="261" t="str">
        <f t="shared" si="6"/>
        <v/>
      </c>
      <c r="V79" s="259"/>
      <c r="W79" s="259"/>
      <c r="X79" s="259"/>
      <c r="Y79" s="259"/>
      <c r="Z79" s="262"/>
      <c r="AA79" s="263" t="str">
        <f t="shared" si="7"/>
        <v/>
      </c>
      <c r="AB79" s="264" t="str">
        <f t="shared" si="8"/>
        <v/>
      </c>
      <c r="AC79" s="258"/>
      <c r="AD79" s="259"/>
      <c r="AE79" s="259"/>
      <c r="AF79" s="265"/>
      <c r="AG79" s="266" t="str">
        <f t="shared" si="9"/>
        <v/>
      </c>
      <c r="AH79" s="261" t="str">
        <f t="shared" si="10"/>
        <v/>
      </c>
      <c r="AI79" s="267" t="str">
        <f t="shared" si="11"/>
        <v/>
      </c>
      <c r="AJ79" s="259"/>
      <c r="AK79" s="259"/>
      <c r="AL79" s="259"/>
      <c r="AM79" s="260"/>
      <c r="AN79" s="260"/>
      <c r="AO79" s="260"/>
    </row>
    <row r="80" spans="13:41" x14ac:dyDescent="0.25">
      <c r="M80" s="257"/>
      <c r="N80" s="258"/>
      <c r="O80" s="259"/>
      <c r="P80" s="259"/>
      <c r="Q80" s="260"/>
      <c r="R80" s="259"/>
      <c r="S80" s="259"/>
      <c r="T80" s="259"/>
      <c r="U80" s="261" t="str">
        <f t="shared" si="6"/>
        <v/>
      </c>
      <c r="V80" s="259"/>
      <c r="W80" s="259"/>
      <c r="X80" s="259"/>
      <c r="Y80" s="259"/>
      <c r="Z80" s="262"/>
      <c r="AA80" s="263" t="str">
        <f t="shared" si="7"/>
        <v/>
      </c>
      <c r="AB80" s="264" t="str">
        <f t="shared" si="8"/>
        <v/>
      </c>
      <c r="AC80" s="258"/>
      <c r="AD80" s="259"/>
      <c r="AE80" s="259"/>
      <c r="AF80" s="265"/>
      <c r="AG80" s="266" t="str">
        <f t="shared" si="9"/>
        <v/>
      </c>
      <c r="AH80" s="261" t="str">
        <f t="shared" si="10"/>
        <v/>
      </c>
      <c r="AI80" s="267" t="str">
        <f t="shared" si="11"/>
        <v/>
      </c>
      <c r="AJ80" s="259"/>
      <c r="AK80" s="259"/>
      <c r="AL80" s="259"/>
      <c r="AM80" s="260"/>
      <c r="AN80" s="260"/>
      <c r="AO80" s="260"/>
    </row>
    <row r="81" spans="13:41" x14ac:dyDescent="0.25">
      <c r="M81" s="257"/>
      <c r="N81" s="258"/>
      <c r="O81" s="259"/>
      <c r="P81" s="259"/>
      <c r="Q81" s="260"/>
      <c r="R81" s="259"/>
      <c r="S81" s="259"/>
      <c r="T81" s="259"/>
      <c r="U81" s="261" t="str">
        <f t="shared" si="6"/>
        <v/>
      </c>
      <c r="V81" s="259"/>
      <c r="W81" s="259"/>
      <c r="X81" s="259"/>
      <c r="Y81" s="259"/>
      <c r="Z81" s="262"/>
      <c r="AA81" s="263" t="str">
        <f t="shared" si="7"/>
        <v/>
      </c>
      <c r="AB81" s="264" t="str">
        <f t="shared" si="8"/>
        <v/>
      </c>
      <c r="AC81" s="258"/>
      <c r="AD81" s="259"/>
      <c r="AE81" s="259"/>
      <c r="AF81" s="265"/>
      <c r="AG81" s="266" t="str">
        <f t="shared" si="9"/>
        <v/>
      </c>
      <c r="AH81" s="261" t="str">
        <f t="shared" si="10"/>
        <v/>
      </c>
      <c r="AI81" s="267" t="str">
        <f t="shared" si="11"/>
        <v/>
      </c>
      <c r="AJ81" s="259"/>
      <c r="AK81" s="259"/>
      <c r="AL81" s="259"/>
      <c r="AM81" s="260"/>
      <c r="AN81" s="260"/>
      <c r="AO81" s="260"/>
    </row>
    <row r="82" spans="13:41" x14ac:dyDescent="0.25">
      <c r="M82" s="257"/>
      <c r="N82" s="258"/>
      <c r="O82" s="259"/>
      <c r="P82" s="259"/>
      <c r="Q82" s="260"/>
      <c r="R82" s="259"/>
      <c r="S82" s="259"/>
      <c r="T82" s="259"/>
      <c r="U82" s="261" t="str">
        <f t="shared" si="6"/>
        <v/>
      </c>
      <c r="V82" s="259"/>
      <c r="W82" s="259"/>
      <c r="X82" s="259"/>
      <c r="Y82" s="259"/>
      <c r="Z82" s="262"/>
      <c r="AA82" s="263" t="str">
        <f t="shared" si="7"/>
        <v/>
      </c>
      <c r="AB82" s="264" t="str">
        <f t="shared" si="8"/>
        <v/>
      </c>
      <c r="AC82" s="258"/>
      <c r="AD82" s="259"/>
      <c r="AE82" s="259"/>
      <c r="AF82" s="265"/>
      <c r="AG82" s="266" t="str">
        <f t="shared" si="9"/>
        <v/>
      </c>
      <c r="AH82" s="261" t="str">
        <f t="shared" si="10"/>
        <v/>
      </c>
      <c r="AI82" s="267" t="str">
        <f t="shared" si="11"/>
        <v/>
      </c>
      <c r="AJ82" s="259"/>
      <c r="AK82" s="259"/>
      <c r="AL82" s="259"/>
      <c r="AM82" s="260"/>
      <c r="AN82" s="260"/>
      <c r="AO82" s="260"/>
    </row>
    <row r="83" spans="13:41" x14ac:dyDescent="0.25">
      <c r="M83" s="257"/>
      <c r="N83" s="258"/>
      <c r="O83" s="259"/>
      <c r="P83" s="259"/>
      <c r="Q83" s="260"/>
      <c r="R83" s="259"/>
      <c r="S83" s="259"/>
      <c r="T83" s="259"/>
      <c r="U83" s="261" t="str">
        <f t="shared" si="6"/>
        <v/>
      </c>
      <c r="V83" s="259"/>
      <c r="W83" s="259"/>
      <c r="X83" s="259"/>
      <c r="Y83" s="259"/>
      <c r="Z83" s="262"/>
      <c r="AA83" s="263" t="str">
        <f t="shared" si="7"/>
        <v/>
      </c>
      <c r="AB83" s="264" t="str">
        <f t="shared" si="8"/>
        <v/>
      </c>
      <c r="AC83" s="258"/>
      <c r="AD83" s="259"/>
      <c r="AE83" s="259"/>
      <c r="AF83" s="265"/>
      <c r="AG83" s="266" t="str">
        <f t="shared" si="9"/>
        <v/>
      </c>
      <c r="AH83" s="261" t="str">
        <f t="shared" si="10"/>
        <v/>
      </c>
      <c r="AI83" s="267" t="str">
        <f t="shared" si="11"/>
        <v/>
      </c>
      <c r="AJ83" s="259"/>
      <c r="AK83" s="259"/>
      <c r="AL83" s="259"/>
      <c r="AM83" s="260"/>
      <c r="AN83" s="260"/>
      <c r="AO83" s="260"/>
    </row>
    <row r="84" spans="13:41" x14ac:dyDescent="0.25">
      <c r="M84" s="257"/>
      <c r="N84" s="258"/>
      <c r="O84" s="259"/>
      <c r="P84" s="259"/>
      <c r="Q84" s="260"/>
      <c r="R84" s="259"/>
      <c r="S84" s="259"/>
      <c r="T84" s="259"/>
      <c r="U84" s="261" t="str">
        <f t="shared" si="6"/>
        <v/>
      </c>
      <c r="V84" s="259"/>
      <c r="W84" s="259"/>
      <c r="X84" s="259"/>
      <c r="Y84" s="259"/>
      <c r="Z84" s="262"/>
      <c r="AA84" s="263" t="str">
        <f t="shared" si="7"/>
        <v/>
      </c>
      <c r="AB84" s="264" t="str">
        <f t="shared" si="8"/>
        <v/>
      </c>
      <c r="AC84" s="258"/>
      <c r="AD84" s="259"/>
      <c r="AE84" s="259"/>
      <c r="AF84" s="265"/>
      <c r="AG84" s="266" t="str">
        <f t="shared" si="9"/>
        <v/>
      </c>
      <c r="AH84" s="261" t="str">
        <f t="shared" si="10"/>
        <v/>
      </c>
      <c r="AI84" s="267" t="str">
        <f t="shared" si="11"/>
        <v/>
      </c>
      <c r="AJ84" s="259"/>
      <c r="AK84" s="259"/>
      <c r="AL84" s="259"/>
      <c r="AM84" s="260"/>
      <c r="AN84" s="260"/>
      <c r="AO84" s="260"/>
    </row>
    <row r="85" spans="13:41" x14ac:dyDescent="0.25">
      <c r="M85" s="257"/>
      <c r="N85" s="258"/>
      <c r="O85" s="259"/>
      <c r="P85" s="259"/>
      <c r="Q85" s="260"/>
      <c r="R85" s="259"/>
      <c r="S85" s="259"/>
      <c r="T85" s="259"/>
      <c r="U85" s="261" t="str">
        <f t="shared" si="6"/>
        <v/>
      </c>
      <c r="V85" s="259"/>
      <c r="W85" s="259"/>
      <c r="X85" s="259"/>
      <c r="Y85" s="259"/>
      <c r="Z85" s="262"/>
      <c r="AA85" s="263" t="str">
        <f t="shared" si="7"/>
        <v/>
      </c>
      <c r="AB85" s="264" t="str">
        <f t="shared" si="8"/>
        <v/>
      </c>
      <c r="AC85" s="258"/>
      <c r="AD85" s="259"/>
      <c r="AE85" s="259"/>
      <c r="AF85" s="265"/>
      <c r="AG85" s="266" t="str">
        <f t="shared" si="9"/>
        <v/>
      </c>
      <c r="AH85" s="261" t="str">
        <f t="shared" si="10"/>
        <v/>
      </c>
      <c r="AI85" s="267" t="str">
        <f t="shared" si="11"/>
        <v/>
      </c>
      <c r="AJ85" s="259"/>
      <c r="AK85" s="259"/>
      <c r="AL85" s="259"/>
      <c r="AM85" s="260"/>
      <c r="AN85" s="260"/>
      <c r="AO85" s="260"/>
    </row>
    <row r="86" spans="13:41" x14ac:dyDescent="0.25">
      <c r="M86" s="257"/>
      <c r="N86" s="258"/>
      <c r="O86" s="259"/>
      <c r="P86" s="259"/>
      <c r="Q86" s="260"/>
      <c r="R86" s="259"/>
      <c r="S86" s="259"/>
      <c r="T86" s="259"/>
      <c r="U86" s="261" t="str">
        <f t="shared" si="6"/>
        <v/>
      </c>
      <c r="V86" s="259"/>
      <c r="W86" s="259"/>
      <c r="X86" s="259"/>
      <c r="Y86" s="259"/>
      <c r="Z86" s="262"/>
      <c r="AA86" s="263" t="str">
        <f t="shared" si="7"/>
        <v/>
      </c>
      <c r="AB86" s="264" t="str">
        <f t="shared" si="8"/>
        <v/>
      </c>
      <c r="AC86" s="258"/>
      <c r="AD86" s="259"/>
      <c r="AE86" s="259"/>
      <c r="AF86" s="265"/>
      <c r="AG86" s="266" t="str">
        <f t="shared" si="9"/>
        <v/>
      </c>
      <c r="AH86" s="261" t="str">
        <f t="shared" si="10"/>
        <v/>
      </c>
      <c r="AI86" s="267" t="str">
        <f t="shared" si="11"/>
        <v/>
      </c>
      <c r="AJ86" s="259"/>
      <c r="AK86" s="259"/>
      <c r="AL86" s="259"/>
      <c r="AM86" s="260"/>
      <c r="AN86" s="260"/>
      <c r="AO86" s="260"/>
    </row>
    <row r="87" spans="13:41" x14ac:dyDescent="0.25">
      <c r="M87" s="257"/>
      <c r="N87" s="258"/>
      <c r="O87" s="259"/>
      <c r="P87" s="259"/>
      <c r="Q87" s="260"/>
      <c r="R87" s="259"/>
      <c r="S87" s="259"/>
      <c r="T87" s="259"/>
      <c r="U87" s="261" t="str">
        <f t="shared" si="6"/>
        <v/>
      </c>
      <c r="V87" s="259"/>
      <c r="W87" s="259"/>
      <c r="X87" s="259"/>
      <c r="Y87" s="259"/>
      <c r="Z87" s="262"/>
      <c r="AA87" s="263" t="str">
        <f t="shared" si="7"/>
        <v/>
      </c>
      <c r="AB87" s="264" t="str">
        <f t="shared" si="8"/>
        <v/>
      </c>
      <c r="AC87" s="258"/>
      <c r="AD87" s="259"/>
      <c r="AE87" s="259"/>
      <c r="AF87" s="265"/>
      <c r="AG87" s="266" t="str">
        <f t="shared" si="9"/>
        <v/>
      </c>
      <c r="AH87" s="261" t="str">
        <f t="shared" si="10"/>
        <v/>
      </c>
      <c r="AI87" s="267" t="str">
        <f t="shared" si="11"/>
        <v/>
      </c>
      <c r="AJ87" s="259"/>
      <c r="AK87" s="259"/>
      <c r="AL87" s="259"/>
      <c r="AM87" s="260"/>
      <c r="AN87" s="260"/>
      <c r="AO87" s="260"/>
    </row>
    <row r="88" spans="13:41" x14ac:dyDescent="0.25">
      <c r="M88" s="257"/>
      <c r="N88" s="258"/>
      <c r="O88" s="259"/>
      <c r="P88" s="259"/>
      <c r="Q88" s="260"/>
      <c r="R88" s="259"/>
      <c r="S88" s="259"/>
      <c r="T88" s="259"/>
      <c r="U88" s="261" t="str">
        <f t="shared" si="6"/>
        <v/>
      </c>
      <c r="V88" s="259"/>
      <c r="W88" s="259"/>
      <c r="X88" s="259"/>
      <c r="Y88" s="259"/>
      <c r="Z88" s="262"/>
      <c r="AA88" s="263" t="str">
        <f t="shared" si="7"/>
        <v/>
      </c>
      <c r="AB88" s="264" t="str">
        <f t="shared" si="8"/>
        <v/>
      </c>
      <c r="AC88" s="258"/>
      <c r="AD88" s="259"/>
      <c r="AE88" s="259"/>
      <c r="AF88" s="265"/>
      <c r="AG88" s="266" t="str">
        <f t="shared" si="9"/>
        <v/>
      </c>
      <c r="AH88" s="261" t="str">
        <f t="shared" si="10"/>
        <v/>
      </c>
      <c r="AI88" s="267" t="str">
        <f t="shared" si="11"/>
        <v/>
      </c>
      <c r="AJ88" s="259"/>
      <c r="AK88" s="259"/>
      <c r="AL88" s="259"/>
      <c r="AM88" s="260"/>
      <c r="AN88" s="260"/>
      <c r="AO88" s="260"/>
    </row>
    <row r="89" spans="13:41" x14ac:dyDescent="0.25">
      <c r="M89" s="257"/>
      <c r="N89" s="258"/>
      <c r="O89" s="259"/>
      <c r="P89" s="259"/>
      <c r="Q89" s="260"/>
      <c r="R89" s="259"/>
      <c r="S89" s="259"/>
      <c r="T89" s="259"/>
      <c r="U89" s="261" t="str">
        <f t="shared" si="6"/>
        <v/>
      </c>
      <c r="V89" s="259"/>
      <c r="W89" s="259"/>
      <c r="X89" s="259"/>
      <c r="Y89" s="259"/>
      <c r="Z89" s="262"/>
      <c r="AA89" s="263" t="str">
        <f t="shared" si="7"/>
        <v/>
      </c>
      <c r="AB89" s="264" t="str">
        <f t="shared" si="8"/>
        <v/>
      </c>
      <c r="AC89" s="258"/>
      <c r="AD89" s="259"/>
      <c r="AE89" s="259"/>
      <c r="AF89" s="265"/>
      <c r="AG89" s="266" t="str">
        <f t="shared" si="9"/>
        <v/>
      </c>
      <c r="AH89" s="261" t="str">
        <f t="shared" si="10"/>
        <v/>
      </c>
      <c r="AI89" s="267" t="str">
        <f t="shared" si="11"/>
        <v/>
      </c>
      <c r="AJ89" s="259"/>
      <c r="AK89" s="259"/>
      <c r="AL89" s="259"/>
      <c r="AM89" s="260"/>
      <c r="AN89" s="260"/>
      <c r="AO89" s="260"/>
    </row>
    <row r="90" spans="13:41" x14ac:dyDescent="0.25">
      <c r="M90" s="257"/>
      <c r="N90" s="258"/>
      <c r="O90" s="259"/>
      <c r="P90" s="259"/>
      <c r="Q90" s="260"/>
      <c r="R90" s="259"/>
      <c r="S90" s="259"/>
      <c r="T90" s="259"/>
      <c r="U90" s="261" t="str">
        <f t="shared" si="6"/>
        <v/>
      </c>
      <c r="V90" s="259"/>
      <c r="W90" s="259"/>
      <c r="X90" s="259"/>
      <c r="Y90" s="259"/>
      <c r="Z90" s="262"/>
      <c r="AA90" s="263" t="str">
        <f t="shared" si="7"/>
        <v/>
      </c>
      <c r="AB90" s="264" t="str">
        <f t="shared" si="8"/>
        <v/>
      </c>
      <c r="AC90" s="258"/>
      <c r="AD90" s="259"/>
      <c r="AE90" s="259"/>
      <c r="AF90" s="265"/>
      <c r="AG90" s="266" t="str">
        <f t="shared" si="9"/>
        <v/>
      </c>
      <c r="AH90" s="261" t="str">
        <f t="shared" si="10"/>
        <v/>
      </c>
      <c r="AI90" s="267" t="str">
        <f t="shared" si="11"/>
        <v/>
      </c>
      <c r="AJ90" s="259"/>
      <c r="AK90" s="259"/>
      <c r="AL90" s="259"/>
      <c r="AM90" s="260"/>
      <c r="AN90" s="260"/>
      <c r="AO90" s="260"/>
    </row>
    <row r="91" spans="13:41" x14ac:dyDescent="0.25">
      <c r="M91" s="257"/>
      <c r="N91" s="258"/>
      <c r="O91" s="259"/>
      <c r="P91" s="259"/>
      <c r="Q91" s="260"/>
      <c r="R91" s="259"/>
      <c r="S91" s="259"/>
      <c r="T91" s="259"/>
      <c r="U91" s="261" t="str">
        <f t="shared" si="6"/>
        <v/>
      </c>
      <c r="V91" s="259"/>
      <c r="W91" s="259"/>
      <c r="X91" s="259"/>
      <c r="Y91" s="259"/>
      <c r="Z91" s="262"/>
      <c r="AA91" s="263" t="str">
        <f t="shared" si="7"/>
        <v/>
      </c>
      <c r="AB91" s="264" t="str">
        <f t="shared" si="8"/>
        <v/>
      </c>
      <c r="AC91" s="258"/>
      <c r="AD91" s="259"/>
      <c r="AE91" s="259"/>
      <c r="AF91" s="265"/>
      <c r="AG91" s="266" t="str">
        <f t="shared" si="9"/>
        <v/>
      </c>
      <c r="AH91" s="261" t="str">
        <f t="shared" si="10"/>
        <v/>
      </c>
      <c r="AI91" s="267" t="str">
        <f t="shared" si="11"/>
        <v/>
      </c>
      <c r="AJ91" s="259"/>
      <c r="AK91" s="259"/>
      <c r="AL91" s="259"/>
      <c r="AM91" s="260"/>
      <c r="AN91" s="260"/>
      <c r="AO91" s="260"/>
    </row>
    <row r="92" spans="13:41" x14ac:dyDescent="0.25">
      <c r="M92" s="257"/>
      <c r="N92" s="258"/>
      <c r="O92" s="259"/>
      <c r="P92" s="259"/>
      <c r="Q92" s="260"/>
      <c r="R92" s="259"/>
      <c r="S92" s="259"/>
      <c r="T92" s="259"/>
      <c r="U92" s="261" t="str">
        <f t="shared" si="6"/>
        <v/>
      </c>
      <c r="V92" s="259"/>
      <c r="W92" s="259"/>
      <c r="X92" s="259"/>
      <c r="Y92" s="259"/>
      <c r="Z92" s="262"/>
      <c r="AA92" s="263" t="str">
        <f t="shared" si="7"/>
        <v/>
      </c>
      <c r="AB92" s="264" t="str">
        <f t="shared" si="8"/>
        <v/>
      </c>
      <c r="AC92" s="258"/>
      <c r="AD92" s="259"/>
      <c r="AE92" s="259"/>
      <c r="AF92" s="265"/>
      <c r="AG92" s="266" t="str">
        <f t="shared" si="9"/>
        <v/>
      </c>
      <c r="AH92" s="261" t="str">
        <f t="shared" si="10"/>
        <v/>
      </c>
      <c r="AI92" s="267" t="str">
        <f t="shared" si="11"/>
        <v/>
      </c>
      <c r="AJ92" s="259"/>
      <c r="AK92" s="259"/>
      <c r="AL92" s="259"/>
      <c r="AM92" s="260"/>
      <c r="AN92" s="260"/>
      <c r="AO92" s="260"/>
    </row>
    <row r="93" spans="13:41" x14ac:dyDescent="0.25">
      <c r="M93" s="257"/>
      <c r="N93" s="258"/>
      <c r="O93" s="259"/>
      <c r="P93" s="259"/>
      <c r="Q93" s="260"/>
      <c r="R93" s="259"/>
      <c r="S93" s="259"/>
      <c r="T93" s="259"/>
      <c r="U93" s="261" t="str">
        <f t="shared" si="6"/>
        <v/>
      </c>
      <c r="V93" s="259"/>
      <c r="W93" s="259"/>
      <c r="X93" s="259"/>
      <c r="Y93" s="259"/>
      <c r="Z93" s="262"/>
      <c r="AA93" s="263" t="str">
        <f t="shared" si="7"/>
        <v/>
      </c>
      <c r="AB93" s="264" t="str">
        <f t="shared" si="8"/>
        <v/>
      </c>
      <c r="AC93" s="258"/>
      <c r="AD93" s="259"/>
      <c r="AE93" s="259"/>
      <c r="AF93" s="265"/>
      <c r="AG93" s="266" t="str">
        <f t="shared" si="9"/>
        <v/>
      </c>
      <c r="AH93" s="261" t="str">
        <f t="shared" si="10"/>
        <v/>
      </c>
      <c r="AI93" s="267" t="str">
        <f t="shared" si="11"/>
        <v/>
      </c>
      <c r="AJ93" s="259"/>
      <c r="AK93" s="259"/>
      <c r="AL93" s="259"/>
      <c r="AM93" s="260"/>
      <c r="AN93" s="260"/>
      <c r="AO93" s="260"/>
    </row>
    <row r="94" spans="13:41" x14ac:dyDescent="0.25">
      <c r="M94" s="257"/>
      <c r="N94" s="258"/>
      <c r="O94" s="259"/>
      <c r="P94" s="259"/>
      <c r="Q94" s="260"/>
      <c r="R94" s="259"/>
      <c r="S94" s="259"/>
      <c r="T94" s="259"/>
      <c r="U94" s="261" t="str">
        <f t="shared" si="6"/>
        <v/>
      </c>
      <c r="V94" s="259"/>
      <c r="W94" s="259"/>
      <c r="X94" s="259"/>
      <c r="Y94" s="259"/>
      <c r="Z94" s="262"/>
      <c r="AA94" s="263" t="str">
        <f t="shared" si="7"/>
        <v/>
      </c>
      <c r="AB94" s="264" t="str">
        <f t="shared" si="8"/>
        <v/>
      </c>
      <c r="AC94" s="258"/>
      <c r="AD94" s="259"/>
      <c r="AE94" s="259"/>
      <c r="AF94" s="265"/>
      <c r="AG94" s="266" t="str">
        <f t="shared" si="9"/>
        <v/>
      </c>
      <c r="AH94" s="261" t="str">
        <f t="shared" si="10"/>
        <v/>
      </c>
      <c r="AI94" s="267" t="str">
        <f t="shared" si="11"/>
        <v/>
      </c>
      <c r="AJ94" s="259"/>
      <c r="AK94" s="259"/>
      <c r="AL94" s="259"/>
      <c r="AM94" s="260"/>
      <c r="AN94" s="260"/>
      <c r="AO94" s="260"/>
    </row>
    <row r="95" spans="13:41" x14ac:dyDescent="0.25">
      <c r="M95" s="257"/>
      <c r="N95" s="258"/>
      <c r="O95" s="259"/>
      <c r="P95" s="259"/>
      <c r="Q95" s="260"/>
      <c r="R95" s="259"/>
      <c r="S95" s="259"/>
      <c r="T95" s="259"/>
      <c r="U95" s="261" t="str">
        <f t="shared" si="6"/>
        <v/>
      </c>
      <c r="V95" s="259"/>
      <c r="W95" s="259"/>
      <c r="X95" s="259"/>
      <c r="Y95" s="259"/>
      <c r="Z95" s="262"/>
      <c r="AA95" s="263" t="str">
        <f t="shared" si="7"/>
        <v/>
      </c>
      <c r="AB95" s="264" t="str">
        <f t="shared" si="8"/>
        <v/>
      </c>
      <c r="AC95" s="258"/>
      <c r="AD95" s="259"/>
      <c r="AE95" s="259"/>
      <c r="AF95" s="265"/>
      <c r="AG95" s="266" t="str">
        <f t="shared" si="9"/>
        <v/>
      </c>
      <c r="AH95" s="261" t="str">
        <f t="shared" si="10"/>
        <v/>
      </c>
      <c r="AI95" s="267" t="str">
        <f t="shared" si="11"/>
        <v/>
      </c>
      <c r="AJ95" s="259"/>
      <c r="AK95" s="259"/>
      <c r="AL95" s="259"/>
      <c r="AM95" s="260"/>
      <c r="AN95" s="260"/>
      <c r="AO95" s="260"/>
    </row>
    <row r="96" spans="13:41" x14ac:dyDescent="0.25">
      <c r="M96" s="257"/>
      <c r="N96" s="258"/>
      <c r="O96" s="259"/>
      <c r="P96" s="259"/>
      <c r="Q96" s="260"/>
      <c r="R96" s="259"/>
      <c r="S96" s="259"/>
      <c r="T96" s="259"/>
      <c r="U96" s="261" t="str">
        <f t="shared" si="6"/>
        <v/>
      </c>
      <c r="V96" s="259"/>
      <c r="W96" s="259"/>
      <c r="X96" s="259"/>
      <c r="Y96" s="259"/>
      <c r="Z96" s="262"/>
      <c r="AA96" s="263" t="str">
        <f t="shared" si="7"/>
        <v/>
      </c>
      <c r="AB96" s="264" t="str">
        <f t="shared" si="8"/>
        <v/>
      </c>
      <c r="AC96" s="258"/>
      <c r="AD96" s="259"/>
      <c r="AE96" s="259"/>
      <c r="AF96" s="265"/>
      <c r="AG96" s="266" t="str">
        <f t="shared" si="9"/>
        <v/>
      </c>
      <c r="AH96" s="261" t="str">
        <f t="shared" si="10"/>
        <v/>
      </c>
      <c r="AI96" s="267" t="str">
        <f t="shared" si="11"/>
        <v/>
      </c>
      <c r="AJ96" s="259"/>
      <c r="AK96" s="259"/>
      <c r="AL96" s="259"/>
      <c r="AM96" s="260"/>
      <c r="AN96" s="260"/>
      <c r="AO96" s="260"/>
    </row>
    <row r="97" spans="13:41" x14ac:dyDescent="0.25">
      <c r="M97" s="257"/>
      <c r="N97" s="258"/>
      <c r="O97" s="259"/>
      <c r="P97" s="259"/>
      <c r="Q97" s="260"/>
      <c r="R97" s="259"/>
      <c r="S97" s="259"/>
      <c r="T97" s="259"/>
      <c r="U97" s="261" t="str">
        <f t="shared" si="6"/>
        <v/>
      </c>
      <c r="V97" s="259"/>
      <c r="W97" s="259"/>
      <c r="X97" s="259"/>
      <c r="Y97" s="259"/>
      <c r="Z97" s="262"/>
      <c r="AA97" s="263" t="str">
        <f t="shared" si="7"/>
        <v/>
      </c>
      <c r="AB97" s="264" t="str">
        <f t="shared" si="8"/>
        <v/>
      </c>
      <c r="AC97" s="258"/>
      <c r="AD97" s="259"/>
      <c r="AE97" s="259"/>
      <c r="AF97" s="265"/>
      <c r="AG97" s="266" t="str">
        <f t="shared" si="9"/>
        <v/>
      </c>
      <c r="AH97" s="261" t="str">
        <f t="shared" si="10"/>
        <v/>
      </c>
      <c r="AI97" s="267" t="str">
        <f t="shared" si="11"/>
        <v/>
      </c>
      <c r="AJ97" s="259"/>
      <c r="AK97" s="259"/>
      <c r="AL97" s="259"/>
      <c r="AM97" s="260"/>
      <c r="AN97" s="260"/>
      <c r="AO97" s="260"/>
    </row>
    <row r="98" spans="13:41" x14ac:dyDescent="0.25">
      <c r="M98" s="257"/>
      <c r="N98" s="258"/>
      <c r="O98" s="259"/>
      <c r="P98" s="259"/>
      <c r="Q98" s="260"/>
      <c r="R98" s="259"/>
      <c r="S98" s="259"/>
      <c r="T98" s="259"/>
      <c r="U98" s="261" t="str">
        <f t="shared" si="6"/>
        <v/>
      </c>
      <c r="V98" s="259"/>
      <c r="W98" s="259"/>
      <c r="X98" s="259"/>
      <c r="Y98" s="259"/>
      <c r="Z98" s="262"/>
      <c r="AA98" s="263" t="str">
        <f t="shared" si="7"/>
        <v/>
      </c>
      <c r="AB98" s="264" t="str">
        <f t="shared" si="8"/>
        <v/>
      </c>
      <c r="AC98" s="258"/>
      <c r="AD98" s="259"/>
      <c r="AE98" s="259"/>
      <c r="AF98" s="265"/>
      <c r="AG98" s="266" t="str">
        <f t="shared" si="9"/>
        <v/>
      </c>
      <c r="AH98" s="261" t="str">
        <f t="shared" si="10"/>
        <v/>
      </c>
      <c r="AI98" s="267" t="str">
        <f t="shared" si="11"/>
        <v/>
      </c>
      <c r="AJ98" s="259"/>
      <c r="AK98" s="259"/>
      <c r="AL98" s="259"/>
      <c r="AM98" s="260"/>
      <c r="AN98" s="260"/>
      <c r="AO98" s="260"/>
    </row>
    <row r="99" spans="13:41" x14ac:dyDescent="0.25">
      <c r="M99" s="257"/>
      <c r="N99" s="258"/>
      <c r="O99" s="259"/>
      <c r="P99" s="259"/>
      <c r="Q99" s="260"/>
      <c r="R99" s="259"/>
      <c r="S99" s="259"/>
      <c r="T99" s="259"/>
      <c r="U99" s="261" t="str">
        <f t="shared" si="6"/>
        <v/>
      </c>
      <c r="V99" s="259"/>
      <c r="W99" s="259"/>
      <c r="X99" s="259"/>
      <c r="Y99" s="259"/>
      <c r="Z99" s="262"/>
      <c r="AA99" s="263" t="str">
        <f t="shared" si="7"/>
        <v/>
      </c>
      <c r="AB99" s="264" t="str">
        <f t="shared" si="8"/>
        <v/>
      </c>
      <c r="AC99" s="258"/>
      <c r="AD99" s="259"/>
      <c r="AE99" s="259"/>
      <c r="AF99" s="265"/>
      <c r="AG99" s="266" t="str">
        <f t="shared" si="9"/>
        <v/>
      </c>
      <c r="AH99" s="261" t="str">
        <f t="shared" si="10"/>
        <v/>
      </c>
      <c r="AI99" s="267" t="str">
        <f t="shared" si="11"/>
        <v/>
      </c>
      <c r="AJ99" s="259"/>
      <c r="AK99" s="259"/>
      <c r="AL99" s="259"/>
      <c r="AM99" s="260"/>
      <c r="AN99" s="260"/>
      <c r="AO99" s="260"/>
    </row>
    <row r="100" spans="13:41" x14ac:dyDescent="0.25">
      <c r="M100" s="257"/>
      <c r="N100" s="258"/>
      <c r="O100" s="259"/>
      <c r="P100" s="259"/>
      <c r="Q100" s="260"/>
      <c r="R100" s="259"/>
      <c r="S100" s="259"/>
      <c r="T100" s="259"/>
      <c r="U100" s="261" t="str">
        <f t="shared" si="6"/>
        <v/>
      </c>
      <c r="V100" s="259"/>
      <c r="W100" s="259"/>
      <c r="X100" s="259"/>
      <c r="Y100" s="259"/>
      <c r="Z100" s="262"/>
      <c r="AA100" s="263" t="str">
        <f t="shared" si="7"/>
        <v/>
      </c>
      <c r="AB100" s="264" t="str">
        <f t="shared" si="8"/>
        <v/>
      </c>
      <c r="AC100" s="258"/>
      <c r="AD100" s="259"/>
      <c r="AE100" s="259"/>
      <c r="AF100" s="265"/>
      <c r="AG100" s="266" t="str">
        <f t="shared" si="9"/>
        <v/>
      </c>
      <c r="AH100" s="261" t="str">
        <f t="shared" si="10"/>
        <v/>
      </c>
      <c r="AI100" s="267" t="str">
        <f t="shared" si="11"/>
        <v/>
      </c>
      <c r="AJ100" s="259"/>
      <c r="AK100" s="259"/>
      <c r="AL100" s="259"/>
      <c r="AM100" s="260"/>
      <c r="AN100" s="260"/>
      <c r="AO100" s="260"/>
    </row>
    <row r="101" spans="13:41" x14ac:dyDescent="0.25">
      <c r="M101" s="257"/>
      <c r="N101" s="258"/>
      <c r="O101" s="259"/>
      <c r="P101" s="259"/>
      <c r="Q101" s="260"/>
      <c r="R101" s="259"/>
      <c r="S101" s="259"/>
      <c r="T101" s="259"/>
      <c r="U101" s="261" t="str">
        <f t="shared" si="6"/>
        <v/>
      </c>
      <c r="V101" s="259"/>
      <c r="W101" s="259"/>
      <c r="X101" s="259"/>
      <c r="Y101" s="259"/>
      <c r="Z101" s="262"/>
      <c r="AA101" s="263" t="str">
        <f t="shared" si="7"/>
        <v/>
      </c>
      <c r="AB101" s="264" t="str">
        <f t="shared" si="8"/>
        <v/>
      </c>
      <c r="AC101" s="258"/>
      <c r="AD101" s="259"/>
      <c r="AE101" s="259"/>
      <c r="AF101" s="265"/>
      <c r="AG101" s="266" t="str">
        <f t="shared" si="9"/>
        <v/>
      </c>
      <c r="AH101" s="261" t="str">
        <f t="shared" si="10"/>
        <v/>
      </c>
      <c r="AI101" s="267" t="str">
        <f t="shared" si="11"/>
        <v/>
      </c>
      <c r="AJ101" s="259"/>
      <c r="AK101" s="259"/>
      <c r="AL101" s="259"/>
      <c r="AM101" s="260"/>
      <c r="AN101" s="260"/>
      <c r="AO101" s="260"/>
    </row>
    <row r="102" spans="13:41" x14ac:dyDescent="0.25">
      <c r="M102" s="257"/>
      <c r="N102" s="258"/>
      <c r="O102" s="259"/>
      <c r="P102" s="259"/>
      <c r="Q102" s="260"/>
      <c r="R102" s="259"/>
      <c r="S102" s="259"/>
      <c r="T102" s="259"/>
      <c r="U102" s="261" t="str">
        <f t="shared" si="6"/>
        <v/>
      </c>
      <c r="V102" s="259"/>
      <c r="W102" s="259"/>
      <c r="X102" s="259"/>
      <c r="Y102" s="259"/>
      <c r="Z102" s="262"/>
      <c r="AA102" s="263" t="str">
        <f t="shared" si="7"/>
        <v/>
      </c>
      <c r="AB102" s="264" t="str">
        <f t="shared" si="8"/>
        <v/>
      </c>
      <c r="AC102" s="258"/>
      <c r="AD102" s="259"/>
      <c r="AE102" s="259"/>
      <c r="AF102" s="265"/>
      <c r="AG102" s="266" t="str">
        <f t="shared" si="9"/>
        <v/>
      </c>
      <c r="AH102" s="261" t="str">
        <f t="shared" si="10"/>
        <v/>
      </c>
      <c r="AI102" s="267" t="str">
        <f t="shared" si="11"/>
        <v/>
      </c>
      <c r="AJ102" s="259"/>
      <c r="AK102" s="259"/>
      <c r="AL102" s="259"/>
      <c r="AM102" s="260"/>
      <c r="AN102" s="260"/>
      <c r="AO102" s="260"/>
    </row>
    <row r="103" spans="13:41" x14ac:dyDescent="0.25">
      <c r="M103" s="257"/>
      <c r="N103" s="258"/>
      <c r="O103" s="259"/>
      <c r="P103" s="259"/>
      <c r="Q103" s="260"/>
      <c r="R103" s="259"/>
      <c r="S103" s="259"/>
      <c r="T103" s="259"/>
      <c r="U103" s="261" t="str">
        <f t="shared" si="6"/>
        <v/>
      </c>
      <c r="V103" s="259"/>
      <c r="W103" s="259"/>
      <c r="X103" s="259"/>
      <c r="Y103" s="259"/>
      <c r="Z103" s="262"/>
      <c r="AA103" s="263" t="str">
        <f t="shared" si="7"/>
        <v/>
      </c>
      <c r="AB103" s="264" t="str">
        <f t="shared" si="8"/>
        <v/>
      </c>
      <c r="AC103" s="258"/>
      <c r="AD103" s="259"/>
      <c r="AE103" s="259"/>
      <c r="AF103" s="265"/>
      <c r="AG103" s="266" t="str">
        <f t="shared" si="9"/>
        <v/>
      </c>
      <c r="AH103" s="261" t="str">
        <f t="shared" si="10"/>
        <v/>
      </c>
      <c r="AI103" s="267" t="str">
        <f t="shared" si="11"/>
        <v/>
      </c>
      <c r="AJ103" s="259"/>
      <c r="AK103" s="259"/>
      <c r="AL103" s="259"/>
      <c r="AM103" s="260"/>
      <c r="AN103" s="260"/>
      <c r="AO103" s="260"/>
    </row>
    <row r="104" spans="13:41" x14ac:dyDescent="0.25">
      <c r="M104" s="257"/>
      <c r="N104" s="258"/>
      <c r="O104" s="259"/>
      <c r="P104" s="259"/>
      <c r="Q104" s="260"/>
      <c r="R104" s="259"/>
      <c r="S104" s="259"/>
      <c r="T104" s="259"/>
      <c r="U104" s="261" t="str">
        <f t="shared" si="6"/>
        <v/>
      </c>
      <c r="V104" s="259"/>
      <c r="W104" s="259"/>
      <c r="X104" s="259"/>
      <c r="Y104" s="259"/>
      <c r="Z104" s="262"/>
      <c r="AA104" s="263" t="str">
        <f t="shared" si="7"/>
        <v/>
      </c>
      <c r="AB104" s="264" t="str">
        <f t="shared" si="8"/>
        <v/>
      </c>
      <c r="AC104" s="258"/>
      <c r="AD104" s="259"/>
      <c r="AE104" s="259"/>
      <c r="AF104" s="265"/>
      <c r="AG104" s="266" t="str">
        <f t="shared" si="9"/>
        <v/>
      </c>
      <c r="AH104" s="261" t="str">
        <f t="shared" si="10"/>
        <v/>
      </c>
      <c r="AI104" s="267" t="str">
        <f t="shared" si="11"/>
        <v/>
      </c>
      <c r="AJ104" s="259"/>
      <c r="AK104" s="259"/>
      <c r="AL104" s="259"/>
      <c r="AM104" s="260"/>
      <c r="AN104" s="260"/>
      <c r="AO104" s="260"/>
    </row>
    <row r="105" spans="13:41" x14ac:dyDescent="0.25">
      <c r="M105" s="257"/>
      <c r="N105" s="258"/>
      <c r="O105" s="259"/>
      <c r="P105" s="259"/>
      <c r="Q105" s="260"/>
      <c r="R105" s="259"/>
      <c r="S105" s="259"/>
      <c r="T105" s="259"/>
      <c r="U105" s="261" t="str">
        <f t="shared" si="6"/>
        <v/>
      </c>
      <c r="V105" s="259"/>
      <c r="W105" s="259"/>
      <c r="X105" s="259"/>
      <c r="Y105" s="259"/>
      <c r="Z105" s="262"/>
      <c r="AA105" s="263" t="str">
        <f t="shared" si="7"/>
        <v/>
      </c>
      <c r="AB105" s="264" t="str">
        <f t="shared" si="8"/>
        <v/>
      </c>
      <c r="AC105" s="258"/>
      <c r="AD105" s="259"/>
      <c r="AE105" s="259"/>
      <c r="AF105" s="265"/>
      <c r="AG105" s="266" t="str">
        <f t="shared" si="9"/>
        <v/>
      </c>
      <c r="AH105" s="261" t="str">
        <f t="shared" si="10"/>
        <v/>
      </c>
      <c r="AI105" s="267" t="str">
        <f t="shared" si="11"/>
        <v/>
      </c>
      <c r="AJ105" s="259"/>
      <c r="AK105" s="259"/>
      <c r="AL105" s="259"/>
      <c r="AM105" s="260"/>
      <c r="AN105" s="260"/>
      <c r="AO105" s="260"/>
    </row>
    <row r="106" spans="13:41" x14ac:dyDescent="0.25">
      <c r="M106" s="257"/>
      <c r="N106" s="258"/>
      <c r="O106" s="259"/>
      <c r="P106" s="259"/>
      <c r="Q106" s="260"/>
      <c r="R106" s="259"/>
      <c r="S106" s="259"/>
      <c r="T106" s="259"/>
      <c r="U106" s="261" t="str">
        <f t="shared" si="6"/>
        <v/>
      </c>
      <c r="V106" s="259"/>
      <c r="W106" s="259"/>
      <c r="X106" s="259"/>
      <c r="Y106" s="259"/>
      <c r="Z106" s="262"/>
      <c r="AA106" s="263" t="str">
        <f t="shared" si="7"/>
        <v/>
      </c>
      <c r="AB106" s="264" t="str">
        <f t="shared" si="8"/>
        <v/>
      </c>
      <c r="AC106" s="258"/>
      <c r="AD106" s="259"/>
      <c r="AE106" s="259"/>
      <c r="AF106" s="265"/>
      <c r="AG106" s="266" t="str">
        <f t="shared" si="9"/>
        <v/>
      </c>
      <c r="AH106" s="261" t="str">
        <f t="shared" si="10"/>
        <v/>
      </c>
      <c r="AI106" s="267" t="str">
        <f t="shared" si="11"/>
        <v/>
      </c>
      <c r="AJ106" s="259"/>
      <c r="AK106" s="259"/>
      <c r="AL106" s="259"/>
      <c r="AM106" s="260"/>
      <c r="AN106" s="260"/>
      <c r="AO106" s="260"/>
    </row>
    <row r="107" spans="13:41" x14ac:dyDescent="0.25">
      <c r="M107" s="257"/>
      <c r="N107" s="258"/>
      <c r="O107" s="259"/>
      <c r="P107" s="259"/>
      <c r="Q107" s="260"/>
      <c r="R107" s="259"/>
      <c r="S107" s="259"/>
      <c r="T107" s="259"/>
      <c r="U107" s="261" t="str">
        <f t="shared" si="6"/>
        <v/>
      </c>
      <c r="V107" s="259"/>
      <c r="W107" s="259"/>
      <c r="X107" s="259"/>
      <c r="Y107" s="259"/>
      <c r="Z107" s="262"/>
      <c r="AA107" s="263" t="str">
        <f t="shared" si="7"/>
        <v/>
      </c>
      <c r="AB107" s="264" t="str">
        <f t="shared" si="8"/>
        <v/>
      </c>
      <c r="AC107" s="258"/>
      <c r="AD107" s="259"/>
      <c r="AE107" s="259"/>
      <c r="AF107" s="265"/>
      <c r="AG107" s="266" t="str">
        <f t="shared" si="9"/>
        <v/>
      </c>
      <c r="AH107" s="261" t="str">
        <f t="shared" si="10"/>
        <v/>
      </c>
      <c r="AI107" s="267" t="str">
        <f t="shared" si="11"/>
        <v/>
      </c>
      <c r="AJ107" s="259"/>
      <c r="AK107" s="259"/>
      <c r="AL107" s="259"/>
      <c r="AM107" s="260"/>
      <c r="AN107" s="260"/>
      <c r="AO107" s="260"/>
    </row>
    <row r="108" spans="13:41" x14ac:dyDescent="0.25">
      <c r="M108" s="257"/>
      <c r="N108" s="258"/>
      <c r="O108" s="259"/>
      <c r="P108" s="259"/>
      <c r="Q108" s="260"/>
      <c r="R108" s="259"/>
      <c r="S108" s="259"/>
      <c r="T108" s="259"/>
      <c r="U108" s="261" t="str">
        <f t="shared" si="6"/>
        <v/>
      </c>
      <c r="V108" s="259"/>
      <c r="W108" s="259"/>
      <c r="X108" s="259"/>
      <c r="Y108" s="259"/>
      <c r="Z108" s="262"/>
      <c r="AA108" s="263" t="str">
        <f t="shared" si="7"/>
        <v/>
      </c>
      <c r="AB108" s="264" t="str">
        <f t="shared" si="8"/>
        <v/>
      </c>
      <c r="AC108" s="258"/>
      <c r="AD108" s="259"/>
      <c r="AE108" s="259"/>
      <c r="AF108" s="265"/>
      <c r="AG108" s="266" t="str">
        <f t="shared" si="9"/>
        <v/>
      </c>
      <c r="AH108" s="261" t="str">
        <f t="shared" si="10"/>
        <v/>
      </c>
      <c r="AI108" s="267" t="str">
        <f t="shared" si="11"/>
        <v/>
      </c>
      <c r="AJ108" s="259"/>
      <c r="AK108" s="259"/>
      <c r="AL108" s="259"/>
      <c r="AM108" s="260"/>
      <c r="AN108" s="260"/>
      <c r="AO108" s="260"/>
    </row>
    <row r="109" spans="13:41" x14ac:dyDescent="0.25">
      <c r="M109" s="257"/>
      <c r="N109" s="258"/>
      <c r="O109" s="259"/>
      <c r="P109" s="259"/>
      <c r="Q109" s="260"/>
      <c r="R109" s="259"/>
      <c r="S109" s="259"/>
      <c r="T109" s="259"/>
      <c r="U109" s="261" t="str">
        <f t="shared" si="6"/>
        <v/>
      </c>
      <c r="V109" s="259"/>
      <c r="W109" s="259"/>
      <c r="X109" s="259"/>
      <c r="Y109" s="259"/>
      <c r="Z109" s="262"/>
      <c r="AA109" s="263" t="str">
        <f t="shared" si="7"/>
        <v/>
      </c>
      <c r="AB109" s="264" t="str">
        <f t="shared" si="8"/>
        <v/>
      </c>
      <c r="AC109" s="258"/>
      <c r="AD109" s="259"/>
      <c r="AE109" s="259"/>
      <c r="AF109" s="265"/>
      <c r="AG109" s="266" t="str">
        <f t="shared" si="9"/>
        <v/>
      </c>
      <c r="AH109" s="261" t="str">
        <f t="shared" si="10"/>
        <v/>
      </c>
      <c r="AI109" s="267" t="str">
        <f t="shared" si="11"/>
        <v/>
      </c>
      <c r="AJ109" s="259"/>
      <c r="AK109" s="259"/>
      <c r="AL109" s="259"/>
      <c r="AM109" s="260"/>
      <c r="AN109" s="260"/>
      <c r="AO109" s="260"/>
    </row>
    <row r="110" spans="13:41" x14ac:dyDescent="0.25">
      <c r="M110" s="257"/>
      <c r="N110" s="258"/>
      <c r="O110" s="259"/>
      <c r="P110" s="259"/>
      <c r="Q110" s="260"/>
      <c r="R110" s="259"/>
      <c r="S110" s="259"/>
      <c r="T110" s="259"/>
      <c r="U110" s="261" t="str">
        <f t="shared" si="6"/>
        <v/>
      </c>
      <c r="V110" s="259"/>
      <c r="W110" s="259"/>
      <c r="X110" s="259"/>
      <c r="Y110" s="259"/>
      <c r="Z110" s="262"/>
      <c r="AA110" s="263" t="str">
        <f t="shared" si="7"/>
        <v/>
      </c>
      <c r="AB110" s="264" t="str">
        <f t="shared" si="8"/>
        <v/>
      </c>
      <c r="AC110" s="258"/>
      <c r="AD110" s="259"/>
      <c r="AE110" s="259"/>
      <c r="AF110" s="265"/>
      <c r="AG110" s="266" t="str">
        <f t="shared" si="9"/>
        <v/>
      </c>
      <c r="AH110" s="261" t="str">
        <f t="shared" si="10"/>
        <v/>
      </c>
      <c r="AI110" s="267" t="str">
        <f t="shared" si="11"/>
        <v/>
      </c>
      <c r="AJ110" s="259"/>
      <c r="AK110" s="259"/>
      <c r="AL110" s="259"/>
      <c r="AM110" s="260"/>
      <c r="AN110" s="260"/>
      <c r="AO110" s="260"/>
    </row>
    <row r="111" spans="13:41" x14ac:dyDescent="0.25">
      <c r="M111" s="257"/>
      <c r="N111" s="258"/>
      <c r="O111" s="259"/>
      <c r="P111" s="259"/>
      <c r="Q111" s="260"/>
      <c r="R111" s="259"/>
      <c r="S111" s="259"/>
      <c r="T111" s="259"/>
      <c r="U111" s="261" t="str">
        <f t="shared" si="6"/>
        <v/>
      </c>
      <c r="V111" s="259"/>
      <c r="W111" s="259"/>
      <c r="X111" s="259"/>
      <c r="Y111" s="259"/>
      <c r="Z111" s="262"/>
      <c r="AA111" s="263" t="str">
        <f t="shared" si="7"/>
        <v/>
      </c>
      <c r="AB111" s="264" t="str">
        <f t="shared" si="8"/>
        <v/>
      </c>
      <c r="AC111" s="258"/>
      <c r="AD111" s="259"/>
      <c r="AE111" s="259"/>
      <c r="AF111" s="265"/>
      <c r="AG111" s="266" t="str">
        <f t="shared" si="9"/>
        <v/>
      </c>
      <c r="AH111" s="261" t="str">
        <f t="shared" si="10"/>
        <v/>
      </c>
      <c r="AI111" s="267" t="str">
        <f t="shared" si="11"/>
        <v/>
      </c>
      <c r="AJ111" s="259"/>
      <c r="AK111" s="259"/>
      <c r="AL111" s="259"/>
      <c r="AM111" s="260"/>
      <c r="AN111" s="260"/>
      <c r="AO111" s="260"/>
    </row>
    <row r="112" spans="13:41" x14ac:dyDescent="0.25">
      <c r="M112" s="257"/>
      <c r="N112" s="258"/>
      <c r="O112" s="259"/>
      <c r="P112" s="259"/>
      <c r="Q112" s="260"/>
      <c r="R112" s="259"/>
      <c r="S112" s="259"/>
      <c r="T112" s="259"/>
      <c r="U112" s="261" t="str">
        <f t="shared" si="6"/>
        <v/>
      </c>
      <c r="V112" s="259"/>
      <c r="W112" s="259"/>
      <c r="X112" s="259"/>
      <c r="Y112" s="259"/>
      <c r="Z112" s="262"/>
      <c r="AA112" s="263" t="str">
        <f t="shared" si="7"/>
        <v/>
      </c>
      <c r="AB112" s="264" t="str">
        <f t="shared" si="8"/>
        <v/>
      </c>
      <c r="AC112" s="258"/>
      <c r="AD112" s="259"/>
      <c r="AE112" s="259"/>
      <c r="AF112" s="265"/>
      <c r="AG112" s="266" t="str">
        <f t="shared" si="9"/>
        <v/>
      </c>
      <c r="AH112" s="261" t="str">
        <f t="shared" si="10"/>
        <v/>
      </c>
      <c r="AI112" s="267" t="str">
        <f t="shared" si="11"/>
        <v/>
      </c>
      <c r="AJ112" s="259"/>
      <c r="AK112" s="259"/>
      <c r="AL112" s="259"/>
      <c r="AM112" s="260"/>
      <c r="AN112" s="260"/>
      <c r="AO112" s="260"/>
    </row>
    <row r="113" spans="13:41" x14ac:dyDescent="0.25">
      <c r="M113" s="257"/>
      <c r="N113" s="258"/>
      <c r="O113" s="259"/>
      <c r="P113" s="259"/>
      <c r="Q113" s="260"/>
      <c r="R113" s="259"/>
      <c r="S113" s="259"/>
      <c r="T113" s="259"/>
      <c r="U113" s="261" t="str">
        <f t="shared" si="6"/>
        <v/>
      </c>
      <c r="V113" s="259"/>
      <c r="W113" s="259"/>
      <c r="X113" s="259"/>
      <c r="Y113" s="259"/>
      <c r="Z113" s="262"/>
      <c r="AA113" s="263" t="str">
        <f t="shared" si="7"/>
        <v/>
      </c>
      <c r="AB113" s="264" t="str">
        <f t="shared" si="8"/>
        <v/>
      </c>
      <c r="AC113" s="258"/>
      <c r="AD113" s="259"/>
      <c r="AE113" s="259"/>
      <c r="AF113" s="265"/>
      <c r="AG113" s="266" t="str">
        <f t="shared" si="9"/>
        <v/>
      </c>
      <c r="AH113" s="261" t="str">
        <f t="shared" si="10"/>
        <v/>
      </c>
      <c r="AI113" s="267" t="str">
        <f t="shared" si="11"/>
        <v/>
      </c>
      <c r="AJ113" s="259"/>
      <c r="AK113" s="259"/>
      <c r="AL113" s="259"/>
      <c r="AM113" s="260"/>
      <c r="AN113" s="260"/>
      <c r="AO113" s="260"/>
    </row>
    <row r="114" spans="13:41" x14ac:dyDescent="0.25">
      <c r="M114" s="257"/>
      <c r="N114" s="258"/>
      <c r="O114" s="259"/>
      <c r="P114" s="259"/>
      <c r="Q114" s="260"/>
      <c r="R114" s="259"/>
      <c r="S114" s="259"/>
      <c r="T114" s="259"/>
      <c r="U114" s="261" t="str">
        <f t="shared" si="6"/>
        <v/>
      </c>
      <c r="V114" s="259"/>
      <c r="W114" s="259"/>
      <c r="X114" s="259"/>
      <c r="Y114" s="259"/>
      <c r="Z114" s="262"/>
      <c r="AA114" s="263" t="str">
        <f t="shared" si="7"/>
        <v/>
      </c>
      <c r="AB114" s="264" t="str">
        <f t="shared" si="8"/>
        <v/>
      </c>
      <c r="AC114" s="258"/>
      <c r="AD114" s="259"/>
      <c r="AE114" s="259"/>
      <c r="AF114" s="265"/>
      <c r="AG114" s="266" t="str">
        <f t="shared" si="9"/>
        <v/>
      </c>
      <c r="AH114" s="261" t="str">
        <f t="shared" si="10"/>
        <v/>
      </c>
      <c r="AI114" s="267" t="str">
        <f t="shared" si="11"/>
        <v/>
      </c>
      <c r="AJ114" s="259"/>
      <c r="AK114" s="259"/>
      <c r="AL114" s="259"/>
      <c r="AM114" s="260"/>
      <c r="AN114" s="260"/>
      <c r="AO114" s="260"/>
    </row>
    <row r="115" spans="13:41" x14ac:dyDescent="0.25">
      <c r="M115" s="257"/>
      <c r="N115" s="258"/>
      <c r="O115" s="259"/>
      <c r="P115" s="259"/>
      <c r="Q115" s="260"/>
      <c r="R115" s="259"/>
      <c r="S115" s="259"/>
      <c r="T115" s="259"/>
      <c r="U115" s="261" t="str">
        <f t="shared" si="6"/>
        <v/>
      </c>
      <c r="V115" s="259"/>
      <c r="W115" s="259"/>
      <c r="X115" s="259"/>
      <c r="Y115" s="259"/>
      <c r="Z115" s="262"/>
      <c r="AA115" s="263" t="str">
        <f t="shared" si="7"/>
        <v/>
      </c>
      <c r="AB115" s="264" t="str">
        <f t="shared" si="8"/>
        <v/>
      </c>
      <c r="AC115" s="258"/>
      <c r="AD115" s="259"/>
      <c r="AE115" s="259"/>
      <c r="AF115" s="265"/>
      <c r="AG115" s="266" t="str">
        <f t="shared" si="9"/>
        <v/>
      </c>
      <c r="AH115" s="261" t="str">
        <f t="shared" si="10"/>
        <v/>
      </c>
      <c r="AI115" s="267" t="str">
        <f t="shared" si="11"/>
        <v/>
      </c>
      <c r="AJ115" s="259"/>
      <c r="AK115" s="259"/>
      <c r="AL115" s="259"/>
      <c r="AM115" s="260"/>
      <c r="AN115" s="260"/>
      <c r="AO115" s="260"/>
    </row>
    <row r="116" spans="13:41" x14ac:dyDescent="0.25">
      <c r="M116" s="257"/>
      <c r="N116" s="258"/>
      <c r="O116" s="259"/>
      <c r="P116" s="259"/>
      <c r="Q116" s="260"/>
      <c r="R116" s="259"/>
      <c r="S116" s="259"/>
      <c r="T116" s="259"/>
      <c r="U116" s="261" t="str">
        <f t="shared" si="6"/>
        <v/>
      </c>
      <c r="V116" s="259"/>
      <c r="W116" s="259"/>
      <c r="X116" s="259"/>
      <c r="Y116" s="259"/>
      <c r="Z116" s="262"/>
      <c r="AA116" s="263" t="str">
        <f t="shared" si="7"/>
        <v/>
      </c>
      <c r="AB116" s="264" t="str">
        <f t="shared" si="8"/>
        <v/>
      </c>
      <c r="AC116" s="258"/>
      <c r="AD116" s="259"/>
      <c r="AE116" s="259"/>
      <c r="AF116" s="265"/>
      <c r="AG116" s="266" t="str">
        <f t="shared" si="9"/>
        <v/>
      </c>
      <c r="AH116" s="261" t="str">
        <f t="shared" si="10"/>
        <v/>
      </c>
      <c r="AI116" s="267" t="str">
        <f t="shared" si="11"/>
        <v/>
      </c>
      <c r="AJ116" s="259"/>
      <c r="AK116" s="259"/>
      <c r="AL116" s="259"/>
      <c r="AM116" s="260"/>
      <c r="AN116" s="260"/>
      <c r="AO116" s="260"/>
    </row>
    <row r="117" spans="13:41" x14ac:dyDescent="0.25">
      <c r="M117" s="257"/>
      <c r="N117" s="258"/>
      <c r="O117" s="259"/>
      <c r="P117" s="259"/>
      <c r="Q117" s="260"/>
      <c r="R117" s="259"/>
      <c r="S117" s="259"/>
      <c r="T117" s="259"/>
      <c r="U117" s="261" t="str">
        <f t="shared" si="6"/>
        <v/>
      </c>
      <c r="V117" s="259"/>
      <c r="W117" s="259"/>
      <c r="X117" s="259"/>
      <c r="Y117" s="259"/>
      <c r="Z117" s="262"/>
      <c r="AA117" s="263" t="str">
        <f t="shared" si="7"/>
        <v/>
      </c>
      <c r="AB117" s="264" t="str">
        <f t="shared" si="8"/>
        <v/>
      </c>
      <c r="AC117" s="258"/>
      <c r="AD117" s="259"/>
      <c r="AE117" s="259"/>
      <c r="AF117" s="265"/>
      <c r="AG117" s="266" t="str">
        <f t="shared" si="9"/>
        <v/>
      </c>
      <c r="AH117" s="261" t="str">
        <f t="shared" si="10"/>
        <v/>
      </c>
      <c r="AI117" s="267" t="str">
        <f t="shared" si="11"/>
        <v/>
      </c>
      <c r="AJ117" s="259"/>
      <c r="AK117" s="259"/>
      <c r="AL117" s="259"/>
      <c r="AM117" s="260"/>
      <c r="AN117" s="260"/>
      <c r="AO117" s="260"/>
    </row>
    <row r="118" spans="13:41" x14ac:dyDescent="0.25">
      <c r="M118" s="257"/>
      <c r="N118" s="258"/>
      <c r="O118" s="259"/>
      <c r="P118" s="259"/>
      <c r="Q118" s="260"/>
      <c r="R118" s="259"/>
      <c r="S118" s="259"/>
      <c r="T118" s="259"/>
      <c r="U118" s="261" t="str">
        <f t="shared" si="6"/>
        <v/>
      </c>
      <c r="V118" s="259"/>
      <c r="W118" s="259"/>
      <c r="X118" s="259"/>
      <c r="Y118" s="259"/>
      <c r="Z118" s="262"/>
      <c r="AA118" s="263" t="str">
        <f t="shared" si="7"/>
        <v/>
      </c>
      <c r="AB118" s="264" t="str">
        <f t="shared" si="8"/>
        <v/>
      </c>
      <c r="AC118" s="258"/>
      <c r="AD118" s="259"/>
      <c r="AE118" s="259"/>
      <c r="AF118" s="265"/>
      <c r="AG118" s="266" t="str">
        <f t="shared" si="9"/>
        <v/>
      </c>
      <c r="AH118" s="261" t="str">
        <f t="shared" si="10"/>
        <v/>
      </c>
      <c r="AI118" s="267" t="str">
        <f t="shared" si="11"/>
        <v/>
      </c>
      <c r="AJ118" s="259"/>
      <c r="AK118" s="259"/>
      <c r="AL118" s="259"/>
      <c r="AM118" s="260"/>
      <c r="AN118" s="260"/>
      <c r="AO118" s="260"/>
    </row>
    <row r="119" spans="13:41" x14ac:dyDescent="0.25">
      <c r="M119" s="257"/>
      <c r="N119" s="258"/>
      <c r="O119" s="259"/>
      <c r="P119" s="259"/>
      <c r="Q119" s="260"/>
      <c r="R119" s="259"/>
      <c r="S119" s="259"/>
      <c r="T119" s="259"/>
      <c r="U119" s="261" t="str">
        <f t="shared" si="6"/>
        <v/>
      </c>
      <c r="V119" s="259"/>
      <c r="W119" s="259"/>
      <c r="X119" s="259"/>
      <c r="Y119" s="259"/>
      <c r="Z119" s="262"/>
      <c r="AA119" s="263" t="str">
        <f t="shared" si="7"/>
        <v/>
      </c>
      <c r="AB119" s="264" t="str">
        <f t="shared" si="8"/>
        <v/>
      </c>
      <c r="AC119" s="258"/>
      <c r="AD119" s="259"/>
      <c r="AE119" s="259"/>
      <c r="AF119" s="265"/>
      <c r="AG119" s="266" t="str">
        <f t="shared" si="9"/>
        <v/>
      </c>
      <c r="AH119" s="261" t="str">
        <f t="shared" si="10"/>
        <v/>
      </c>
      <c r="AI119" s="267" t="str">
        <f t="shared" si="11"/>
        <v/>
      </c>
      <c r="AJ119" s="259"/>
      <c r="AK119" s="259"/>
      <c r="AL119" s="259"/>
      <c r="AM119" s="260"/>
      <c r="AN119" s="260"/>
      <c r="AO119" s="260"/>
    </row>
    <row r="120" spans="13:41" x14ac:dyDescent="0.25">
      <c r="M120" s="257"/>
      <c r="N120" s="258"/>
      <c r="O120" s="259"/>
      <c r="P120" s="259"/>
      <c r="Q120" s="260"/>
      <c r="R120" s="259"/>
      <c r="S120" s="259"/>
      <c r="T120" s="259"/>
      <c r="U120" s="261" t="str">
        <f t="shared" si="6"/>
        <v/>
      </c>
      <c r="V120" s="259"/>
      <c r="W120" s="259"/>
      <c r="X120" s="259"/>
      <c r="Y120" s="259"/>
      <c r="Z120" s="262"/>
      <c r="AA120" s="263" t="str">
        <f t="shared" si="7"/>
        <v/>
      </c>
      <c r="AB120" s="264" t="str">
        <f t="shared" si="8"/>
        <v/>
      </c>
      <c r="AC120" s="258"/>
      <c r="AD120" s="259"/>
      <c r="AE120" s="259"/>
      <c r="AF120" s="265"/>
      <c r="AG120" s="266" t="str">
        <f t="shared" si="9"/>
        <v/>
      </c>
      <c r="AH120" s="261" t="str">
        <f t="shared" si="10"/>
        <v/>
      </c>
      <c r="AI120" s="267" t="str">
        <f t="shared" si="11"/>
        <v/>
      </c>
      <c r="AJ120" s="259"/>
      <c r="AK120" s="259"/>
      <c r="AL120" s="259"/>
      <c r="AM120" s="260"/>
      <c r="AN120" s="260"/>
      <c r="AO120" s="260"/>
    </row>
    <row r="121" spans="13:41" x14ac:dyDescent="0.25">
      <c r="M121" s="257"/>
      <c r="N121" s="258"/>
      <c r="O121" s="259"/>
      <c r="P121" s="259"/>
      <c r="Q121" s="260"/>
      <c r="R121" s="259"/>
      <c r="S121" s="259"/>
      <c r="T121" s="259"/>
      <c r="U121" s="261" t="str">
        <f t="shared" si="6"/>
        <v/>
      </c>
      <c r="V121" s="259"/>
      <c r="W121" s="259"/>
      <c r="X121" s="259"/>
      <c r="Y121" s="259"/>
      <c r="Z121" s="262"/>
      <c r="AA121" s="263" t="str">
        <f t="shared" si="7"/>
        <v/>
      </c>
      <c r="AB121" s="264" t="str">
        <f t="shared" si="8"/>
        <v/>
      </c>
      <c r="AC121" s="258"/>
      <c r="AD121" s="259"/>
      <c r="AE121" s="259"/>
      <c r="AF121" s="265"/>
      <c r="AG121" s="266" t="str">
        <f t="shared" si="9"/>
        <v/>
      </c>
      <c r="AH121" s="261" t="str">
        <f t="shared" si="10"/>
        <v/>
      </c>
      <c r="AI121" s="267" t="str">
        <f t="shared" si="11"/>
        <v/>
      </c>
      <c r="AJ121" s="259"/>
      <c r="AK121" s="259"/>
      <c r="AL121" s="259"/>
      <c r="AM121" s="260"/>
      <c r="AN121" s="260"/>
      <c r="AO121" s="260"/>
    </row>
    <row r="122" spans="13:41" x14ac:dyDescent="0.25">
      <c r="M122" s="257"/>
      <c r="N122" s="258"/>
      <c r="O122" s="259"/>
      <c r="P122" s="259"/>
      <c r="Q122" s="260"/>
      <c r="R122" s="259"/>
      <c r="S122" s="259"/>
      <c r="T122" s="259"/>
      <c r="U122" s="261" t="str">
        <f t="shared" si="6"/>
        <v/>
      </c>
      <c r="V122" s="259"/>
      <c r="W122" s="259"/>
      <c r="X122" s="259"/>
      <c r="Y122" s="259"/>
      <c r="Z122" s="262"/>
      <c r="AA122" s="263" t="str">
        <f t="shared" si="7"/>
        <v/>
      </c>
      <c r="AB122" s="264" t="str">
        <f t="shared" si="8"/>
        <v/>
      </c>
      <c r="AC122" s="258"/>
      <c r="AD122" s="259"/>
      <c r="AE122" s="259"/>
      <c r="AF122" s="265"/>
      <c r="AG122" s="266" t="str">
        <f t="shared" si="9"/>
        <v/>
      </c>
      <c r="AH122" s="261" t="str">
        <f t="shared" si="10"/>
        <v/>
      </c>
      <c r="AI122" s="267" t="str">
        <f t="shared" si="11"/>
        <v/>
      </c>
      <c r="AJ122" s="259"/>
      <c r="AK122" s="259"/>
      <c r="AL122" s="259"/>
      <c r="AM122" s="260"/>
      <c r="AN122" s="260"/>
      <c r="AO122" s="260"/>
    </row>
    <row r="123" spans="13:41" x14ac:dyDescent="0.25">
      <c r="M123" s="257"/>
      <c r="N123" s="258"/>
      <c r="O123" s="259"/>
      <c r="P123" s="259"/>
      <c r="Q123" s="260"/>
      <c r="R123" s="259"/>
      <c r="S123" s="259"/>
      <c r="T123" s="259"/>
      <c r="U123" s="261" t="str">
        <f t="shared" si="6"/>
        <v/>
      </c>
      <c r="V123" s="259"/>
      <c r="W123" s="259"/>
      <c r="X123" s="259"/>
      <c r="Y123" s="259"/>
      <c r="Z123" s="262"/>
      <c r="AA123" s="263" t="str">
        <f t="shared" si="7"/>
        <v/>
      </c>
      <c r="AB123" s="264" t="str">
        <f t="shared" si="8"/>
        <v/>
      </c>
      <c r="AC123" s="258"/>
      <c r="AD123" s="259"/>
      <c r="AE123" s="259"/>
      <c r="AF123" s="265"/>
      <c r="AG123" s="266" t="str">
        <f t="shared" si="9"/>
        <v/>
      </c>
      <c r="AH123" s="261" t="str">
        <f t="shared" si="10"/>
        <v/>
      </c>
      <c r="AI123" s="267" t="str">
        <f t="shared" si="11"/>
        <v/>
      </c>
      <c r="AJ123" s="259"/>
      <c r="AK123" s="259"/>
      <c r="AL123" s="259"/>
      <c r="AM123" s="260"/>
      <c r="AN123" s="260"/>
      <c r="AO123" s="260"/>
    </row>
    <row r="124" spans="13:41" x14ac:dyDescent="0.25">
      <c r="M124" s="257"/>
      <c r="N124" s="258"/>
      <c r="O124" s="259"/>
      <c r="P124" s="259"/>
      <c r="Q124" s="260"/>
      <c r="R124" s="259"/>
      <c r="S124" s="259"/>
      <c r="T124" s="259"/>
      <c r="U124" s="261" t="str">
        <f t="shared" si="6"/>
        <v/>
      </c>
      <c r="V124" s="259"/>
      <c r="W124" s="259"/>
      <c r="X124" s="259"/>
      <c r="Y124" s="259"/>
      <c r="Z124" s="262"/>
      <c r="AA124" s="263" t="str">
        <f t="shared" si="7"/>
        <v/>
      </c>
      <c r="AB124" s="264" t="str">
        <f t="shared" si="8"/>
        <v/>
      </c>
      <c r="AC124" s="258"/>
      <c r="AD124" s="259"/>
      <c r="AE124" s="259"/>
      <c r="AF124" s="265"/>
      <c r="AG124" s="266" t="str">
        <f t="shared" si="9"/>
        <v/>
      </c>
      <c r="AH124" s="261" t="str">
        <f t="shared" si="10"/>
        <v/>
      </c>
      <c r="AI124" s="267" t="str">
        <f t="shared" si="11"/>
        <v/>
      </c>
      <c r="AJ124" s="259"/>
      <c r="AK124" s="259"/>
      <c r="AL124" s="259"/>
      <c r="AM124" s="260"/>
      <c r="AN124" s="260"/>
      <c r="AO124" s="260"/>
    </row>
    <row r="125" spans="13:41" x14ac:dyDescent="0.25">
      <c r="M125" s="257"/>
      <c r="N125" s="258"/>
      <c r="O125" s="259"/>
      <c r="P125" s="259"/>
      <c r="Q125" s="260"/>
      <c r="R125" s="259"/>
      <c r="S125" s="259"/>
      <c r="T125" s="259"/>
      <c r="U125" s="261" t="str">
        <f t="shared" si="6"/>
        <v/>
      </c>
      <c r="V125" s="259"/>
      <c r="W125" s="259"/>
      <c r="X125" s="259"/>
      <c r="Y125" s="259"/>
      <c r="Z125" s="262"/>
      <c r="AA125" s="263" t="str">
        <f t="shared" si="7"/>
        <v/>
      </c>
      <c r="AB125" s="264" t="str">
        <f t="shared" si="8"/>
        <v/>
      </c>
      <c r="AC125" s="258"/>
      <c r="AD125" s="259"/>
      <c r="AE125" s="259"/>
      <c r="AF125" s="265"/>
      <c r="AG125" s="266" t="str">
        <f t="shared" si="9"/>
        <v/>
      </c>
      <c r="AH125" s="261" t="str">
        <f t="shared" si="10"/>
        <v/>
      </c>
      <c r="AI125" s="267" t="str">
        <f t="shared" si="11"/>
        <v/>
      </c>
      <c r="AJ125" s="259"/>
      <c r="AK125" s="259"/>
      <c r="AL125" s="259"/>
      <c r="AM125" s="260"/>
      <c r="AN125" s="260"/>
      <c r="AO125" s="260"/>
    </row>
    <row r="126" spans="13:41" x14ac:dyDescent="0.25">
      <c r="M126" s="257"/>
      <c r="N126" s="258"/>
      <c r="O126" s="259"/>
      <c r="P126" s="259"/>
      <c r="Q126" s="260"/>
      <c r="R126" s="259"/>
      <c r="S126" s="259"/>
      <c r="T126" s="259"/>
      <c r="U126" s="261" t="str">
        <f t="shared" si="6"/>
        <v/>
      </c>
      <c r="V126" s="259"/>
      <c r="W126" s="259"/>
      <c r="X126" s="259"/>
      <c r="Y126" s="259"/>
      <c r="Z126" s="262"/>
      <c r="AA126" s="263" t="str">
        <f t="shared" si="7"/>
        <v/>
      </c>
      <c r="AB126" s="264" t="str">
        <f t="shared" si="8"/>
        <v/>
      </c>
      <c r="AC126" s="258"/>
      <c r="AD126" s="259"/>
      <c r="AE126" s="259"/>
      <c r="AF126" s="265"/>
      <c r="AG126" s="266" t="str">
        <f t="shared" si="9"/>
        <v/>
      </c>
      <c r="AH126" s="261" t="str">
        <f t="shared" si="10"/>
        <v/>
      </c>
      <c r="AI126" s="267" t="str">
        <f t="shared" si="11"/>
        <v/>
      </c>
      <c r="AJ126" s="259"/>
      <c r="AK126" s="259"/>
      <c r="AL126" s="259"/>
      <c r="AM126" s="260"/>
      <c r="AN126" s="260"/>
      <c r="AO126" s="260"/>
    </row>
    <row r="127" spans="13:41" x14ac:dyDescent="0.25">
      <c r="M127" s="257"/>
      <c r="N127" s="258"/>
      <c r="O127" s="259"/>
      <c r="P127" s="259"/>
      <c r="Q127" s="260"/>
      <c r="R127" s="259"/>
      <c r="S127" s="259"/>
      <c r="T127" s="259"/>
      <c r="U127" s="261" t="str">
        <f t="shared" si="6"/>
        <v/>
      </c>
      <c r="V127" s="259"/>
      <c r="W127" s="259"/>
      <c r="X127" s="259"/>
      <c r="Y127" s="259"/>
      <c r="Z127" s="262"/>
      <c r="AA127" s="263" t="str">
        <f t="shared" si="7"/>
        <v/>
      </c>
      <c r="AB127" s="264" t="str">
        <f t="shared" si="8"/>
        <v/>
      </c>
      <c r="AC127" s="258"/>
      <c r="AD127" s="259"/>
      <c r="AE127" s="259"/>
      <c r="AF127" s="265"/>
      <c r="AG127" s="266" t="str">
        <f t="shared" si="9"/>
        <v/>
      </c>
      <c r="AH127" s="261" t="str">
        <f t="shared" si="10"/>
        <v/>
      </c>
      <c r="AI127" s="267" t="str">
        <f t="shared" si="11"/>
        <v/>
      </c>
      <c r="AJ127" s="259"/>
      <c r="AK127" s="259"/>
      <c r="AL127" s="259"/>
      <c r="AM127" s="260"/>
      <c r="AN127" s="260"/>
      <c r="AO127" s="260"/>
    </row>
    <row r="128" spans="13:41" x14ac:dyDescent="0.25">
      <c r="M128" s="257"/>
      <c r="N128" s="258"/>
      <c r="O128" s="259"/>
      <c r="P128" s="259"/>
      <c r="Q128" s="260"/>
      <c r="R128" s="259"/>
      <c r="S128" s="259"/>
      <c r="T128" s="259"/>
      <c r="U128" s="261" t="str">
        <f t="shared" si="6"/>
        <v/>
      </c>
      <c r="V128" s="259"/>
      <c r="W128" s="259"/>
      <c r="X128" s="259"/>
      <c r="Y128" s="259"/>
      <c r="Z128" s="262"/>
      <c r="AA128" s="263" t="str">
        <f t="shared" si="7"/>
        <v/>
      </c>
      <c r="AB128" s="264" t="str">
        <f t="shared" si="8"/>
        <v/>
      </c>
      <c r="AC128" s="258"/>
      <c r="AD128" s="259"/>
      <c r="AE128" s="259"/>
      <c r="AF128" s="265"/>
      <c r="AG128" s="266" t="str">
        <f t="shared" si="9"/>
        <v/>
      </c>
      <c r="AH128" s="261" t="str">
        <f t="shared" si="10"/>
        <v/>
      </c>
      <c r="AI128" s="267" t="str">
        <f t="shared" si="11"/>
        <v/>
      </c>
      <c r="AJ128" s="259"/>
      <c r="AK128" s="259"/>
      <c r="AL128" s="259"/>
      <c r="AM128" s="260"/>
      <c r="AN128" s="260"/>
      <c r="AO128" s="260"/>
    </row>
    <row r="129" spans="13:41" x14ac:dyDescent="0.25">
      <c r="M129" s="257"/>
      <c r="N129" s="258"/>
      <c r="O129" s="259"/>
      <c r="P129" s="259"/>
      <c r="Q129" s="260"/>
      <c r="R129" s="259"/>
      <c r="S129" s="259"/>
      <c r="T129" s="259"/>
      <c r="U129" s="261" t="str">
        <f t="shared" si="6"/>
        <v/>
      </c>
      <c r="V129" s="259"/>
      <c r="W129" s="259"/>
      <c r="X129" s="259"/>
      <c r="Y129" s="259"/>
      <c r="Z129" s="262"/>
      <c r="AA129" s="263" t="str">
        <f t="shared" si="7"/>
        <v/>
      </c>
      <c r="AB129" s="264" t="str">
        <f t="shared" si="8"/>
        <v/>
      </c>
      <c r="AC129" s="258"/>
      <c r="AD129" s="259"/>
      <c r="AE129" s="259"/>
      <c r="AF129" s="265"/>
      <c r="AG129" s="266" t="str">
        <f t="shared" si="9"/>
        <v/>
      </c>
      <c r="AH129" s="261" t="str">
        <f t="shared" si="10"/>
        <v/>
      </c>
      <c r="AI129" s="267" t="str">
        <f t="shared" si="11"/>
        <v/>
      </c>
      <c r="AJ129" s="259"/>
      <c r="AK129" s="259"/>
      <c r="AL129" s="259"/>
      <c r="AM129" s="260"/>
      <c r="AN129" s="260"/>
      <c r="AO129" s="260"/>
    </row>
    <row r="130" spans="13:41" x14ac:dyDescent="0.25">
      <c r="M130" s="257"/>
      <c r="N130" s="258"/>
      <c r="O130" s="259"/>
      <c r="P130" s="259"/>
      <c r="Q130" s="260"/>
      <c r="R130" s="259"/>
      <c r="S130" s="259"/>
      <c r="T130" s="259"/>
      <c r="U130" s="261" t="str">
        <f t="shared" si="6"/>
        <v/>
      </c>
      <c r="V130" s="259"/>
      <c r="W130" s="259"/>
      <c r="X130" s="259"/>
      <c r="Y130" s="259"/>
      <c r="Z130" s="262"/>
      <c r="AA130" s="263" t="str">
        <f t="shared" si="7"/>
        <v/>
      </c>
      <c r="AB130" s="264" t="str">
        <f t="shared" si="8"/>
        <v/>
      </c>
      <c r="AC130" s="258"/>
      <c r="AD130" s="259"/>
      <c r="AE130" s="259"/>
      <c r="AF130" s="265"/>
      <c r="AG130" s="266" t="str">
        <f t="shared" si="9"/>
        <v/>
      </c>
      <c r="AH130" s="261" t="str">
        <f t="shared" si="10"/>
        <v/>
      </c>
      <c r="AI130" s="267" t="str">
        <f t="shared" si="11"/>
        <v/>
      </c>
      <c r="AJ130" s="259"/>
      <c r="AK130" s="259"/>
      <c r="AL130" s="259"/>
      <c r="AM130" s="260"/>
      <c r="AN130" s="260"/>
      <c r="AO130" s="260"/>
    </row>
    <row r="131" spans="13:41" x14ac:dyDescent="0.25">
      <c r="M131" s="257"/>
      <c r="N131" s="258"/>
      <c r="O131" s="259"/>
      <c r="P131" s="259"/>
      <c r="Q131" s="260"/>
      <c r="R131" s="259"/>
      <c r="S131" s="259"/>
      <c r="T131" s="259"/>
      <c r="U131" s="261" t="str">
        <f t="shared" si="6"/>
        <v/>
      </c>
      <c r="V131" s="259"/>
      <c r="W131" s="259"/>
      <c r="X131" s="259"/>
      <c r="Y131" s="259"/>
      <c r="Z131" s="262"/>
      <c r="AA131" s="263" t="str">
        <f t="shared" si="7"/>
        <v/>
      </c>
      <c r="AB131" s="264" t="str">
        <f t="shared" si="8"/>
        <v/>
      </c>
      <c r="AC131" s="258"/>
      <c r="AD131" s="259"/>
      <c r="AE131" s="259"/>
      <c r="AF131" s="265"/>
      <c r="AG131" s="266" t="str">
        <f t="shared" si="9"/>
        <v/>
      </c>
      <c r="AH131" s="261" t="str">
        <f t="shared" si="10"/>
        <v/>
      </c>
      <c r="AI131" s="267" t="str">
        <f t="shared" si="11"/>
        <v/>
      </c>
      <c r="AJ131" s="259"/>
      <c r="AK131" s="259"/>
      <c r="AL131" s="259"/>
      <c r="AM131" s="260"/>
      <c r="AN131" s="260"/>
      <c r="AO131" s="260"/>
    </row>
    <row r="132" spans="13:41" x14ac:dyDescent="0.25">
      <c r="M132" s="257"/>
      <c r="N132" s="258"/>
      <c r="O132" s="259"/>
      <c r="P132" s="259"/>
      <c r="Q132" s="260"/>
      <c r="R132" s="259"/>
      <c r="S132" s="259"/>
      <c r="T132" s="259"/>
      <c r="U132" s="261" t="str">
        <f t="shared" si="6"/>
        <v/>
      </c>
      <c r="V132" s="259"/>
      <c r="W132" s="259"/>
      <c r="X132" s="259"/>
      <c r="Y132" s="259"/>
      <c r="Z132" s="262"/>
      <c r="AA132" s="263" t="str">
        <f t="shared" si="7"/>
        <v/>
      </c>
      <c r="AB132" s="264" t="str">
        <f t="shared" si="8"/>
        <v/>
      </c>
      <c r="AC132" s="258"/>
      <c r="AD132" s="259"/>
      <c r="AE132" s="259"/>
      <c r="AF132" s="265"/>
      <c r="AG132" s="266" t="str">
        <f t="shared" si="9"/>
        <v/>
      </c>
      <c r="AH132" s="261" t="str">
        <f t="shared" si="10"/>
        <v/>
      </c>
      <c r="AI132" s="267" t="str">
        <f t="shared" si="11"/>
        <v/>
      </c>
      <c r="AJ132" s="259"/>
      <c r="AK132" s="259"/>
      <c r="AL132" s="259"/>
      <c r="AM132" s="260"/>
      <c r="AN132" s="260"/>
      <c r="AO132" s="260"/>
    </row>
    <row r="133" spans="13:41" x14ac:dyDescent="0.25">
      <c r="M133" s="257"/>
      <c r="N133" s="258"/>
      <c r="O133" s="259"/>
      <c r="P133" s="259"/>
      <c r="Q133" s="260"/>
      <c r="R133" s="259"/>
      <c r="S133" s="259"/>
      <c r="T133" s="259"/>
      <c r="U133" s="261" t="str">
        <f t="shared" ref="U133:U196" si="12">IF(OR(P133="",T133=""),"",IF(OR(AND(P133="Long",T133="LONG"),AND(P133="Short",T133="SHORT")),"WITH",IF(OR(T133="LONG",T133="SHORT"),"AGAINST","NO PERMISSION")))</f>
        <v/>
      </c>
      <c r="V133" s="259"/>
      <c r="W133" s="259"/>
      <c r="X133" s="259"/>
      <c r="Y133" s="259"/>
      <c r="Z133" s="262"/>
      <c r="AA133" s="263" t="str">
        <f t="shared" ref="AA133:AA196" si="13">IF(OR(Z133="",$N$3=""),"",Z133/$N$3)</f>
        <v/>
      </c>
      <c r="AB133" s="264" t="str">
        <f t="shared" ref="AB133:AB196" si="14">IF(COUNT(V133,W133,X133)&lt;3,"",IFERROR(ABS(X133-V133)/ABS(V133-W133),""))</f>
        <v/>
      </c>
      <c r="AC133" s="258"/>
      <c r="AD133" s="259"/>
      <c r="AE133" s="259"/>
      <c r="AF133" s="265"/>
      <c r="AG133" s="266" t="str">
        <f t="shared" ref="AG133:AG196" si="15">IF(OR(AF133="",Z133=""),"",IFERROR(AF133/Z133,""))</f>
        <v/>
      </c>
      <c r="AH133" s="261" t="str">
        <f t="shared" ref="AH133:AH196" si="16">IF(N133="","",IF(AF133="","OPEN",IF(AF133&gt;0,"WIN",IF(AF133&lt;0,"LOSS","BE"))))</f>
        <v/>
      </c>
      <c r="AI133" s="267" t="str">
        <f t="shared" ref="AI133:AI196" si="17">IF(OR(N133="",AC133=""),"",AC133-N133)</f>
        <v/>
      </c>
      <c r="AJ133" s="259"/>
      <c r="AK133" s="259"/>
      <c r="AL133" s="259"/>
      <c r="AM133" s="260"/>
      <c r="AN133" s="260"/>
      <c r="AO133" s="260"/>
    </row>
    <row r="134" spans="13:41" x14ac:dyDescent="0.25">
      <c r="M134" s="257"/>
      <c r="N134" s="258"/>
      <c r="O134" s="259"/>
      <c r="P134" s="259"/>
      <c r="Q134" s="260"/>
      <c r="R134" s="259"/>
      <c r="S134" s="259"/>
      <c r="T134" s="259"/>
      <c r="U134" s="261" t="str">
        <f t="shared" si="12"/>
        <v/>
      </c>
      <c r="V134" s="259"/>
      <c r="W134" s="259"/>
      <c r="X134" s="259"/>
      <c r="Y134" s="259"/>
      <c r="Z134" s="262"/>
      <c r="AA134" s="263" t="str">
        <f t="shared" si="13"/>
        <v/>
      </c>
      <c r="AB134" s="264" t="str">
        <f t="shared" si="14"/>
        <v/>
      </c>
      <c r="AC134" s="258"/>
      <c r="AD134" s="259"/>
      <c r="AE134" s="259"/>
      <c r="AF134" s="265"/>
      <c r="AG134" s="266" t="str">
        <f t="shared" si="15"/>
        <v/>
      </c>
      <c r="AH134" s="261" t="str">
        <f t="shared" si="16"/>
        <v/>
      </c>
      <c r="AI134" s="267" t="str">
        <f t="shared" si="17"/>
        <v/>
      </c>
      <c r="AJ134" s="259"/>
      <c r="AK134" s="259"/>
      <c r="AL134" s="259"/>
      <c r="AM134" s="260"/>
      <c r="AN134" s="260"/>
      <c r="AO134" s="260"/>
    </row>
    <row r="135" spans="13:41" x14ac:dyDescent="0.25">
      <c r="M135" s="257"/>
      <c r="N135" s="258"/>
      <c r="O135" s="259"/>
      <c r="P135" s="259"/>
      <c r="Q135" s="260"/>
      <c r="R135" s="259"/>
      <c r="S135" s="259"/>
      <c r="T135" s="259"/>
      <c r="U135" s="261" t="str">
        <f t="shared" si="12"/>
        <v/>
      </c>
      <c r="V135" s="259"/>
      <c r="W135" s="259"/>
      <c r="X135" s="259"/>
      <c r="Y135" s="259"/>
      <c r="Z135" s="262"/>
      <c r="AA135" s="263" t="str">
        <f t="shared" si="13"/>
        <v/>
      </c>
      <c r="AB135" s="264" t="str">
        <f t="shared" si="14"/>
        <v/>
      </c>
      <c r="AC135" s="258"/>
      <c r="AD135" s="259"/>
      <c r="AE135" s="259"/>
      <c r="AF135" s="265"/>
      <c r="AG135" s="266" t="str">
        <f t="shared" si="15"/>
        <v/>
      </c>
      <c r="AH135" s="261" t="str">
        <f t="shared" si="16"/>
        <v/>
      </c>
      <c r="AI135" s="267" t="str">
        <f t="shared" si="17"/>
        <v/>
      </c>
      <c r="AJ135" s="259"/>
      <c r="AK135" s="259"/>
      <c r="AL135" s="259"/>
      <c r="AM135" s="260"/>
      <c r="AN135" s="260"/>
      <c r="AO135" s="260"/>
    </row>
    <row r="136" spans="13:41" x14ac:dyDescent="0.25">
      <c r="M136" s="257"/>
      <c r="N136" s="258"/>
      <c r="O136" s="259"/>
      <c r="P136" s="259"/>
      <c r="Q136" s="260"/>
      <c r="R136" s="259"/>
      <c r="S136" s="259"/>
      <c r="T136" s="259"/>
      <c r="U136" s="261" t="str">
        <f t="shared" si="12"/>
        <v/>
      </c>
      <c r="V136" s="259"/>
      <c r="W136" s="259"/>
      <c r="X136" s="259"/>
      <c r="Y136" s="259"/>
      <c r="Z136" s="262"/>
      <c r="AA136" s="263" t="str">
        <f t="shared" si="13"/>
        <v/>
      </c>
      <c r="AB136" s="264" t="str">
        <f t="shared" si="14"/>
        <v/>
      </c>
      <c r="AC136" s="258"/>
      <c r="AD136" s="259"/>
      <c r="AE136" s="259"/>
      <c r="AF136" s="265"/>
      <c r="AG136" s="266" t="str">
        <f t="shared" si="15"/>
        <v/>
      </c>
      <c r="AH136" s="261" t="str">
        <f t="shared" si="16"/>
        <v/>
      </c>
      <c r="AI136" s="267" t="str">
        <f t="shared" si="17"/>
        <v/>
      </c>
      <c r="AJ136" s="259"/>
      <c r="AK136" s="259"/>
      <c r="AL136" s="259"/>
      <c r="AM136" s="260"/>
      <c r="AN136" s="260"/>
      <c r="AO136" s="260"/>
    </row>
    <row r="137" spans="13:41" x14ac:dyDescent="0.25">
      <c r="M137" s="257"/>
      <c r="N137" s="258"/>
      <c r="O137" s="259"/>
      <c r="P137" s="259"/>
      <c r="Q137" s="260"/>
      <c r="R137" s="259"/>
      <c r="S137" s="259"/>
      <c r="T137" s="259"/>
      <c r="U137" s="261" t="str">
        <f t="shared" si="12"/>
        <v/>
      </c>
      <c r="V137" s="259"/>
      <c r="W137" s="259"/>
      <c r="X137" s="259"/>
      <c r="Y137" s="259"/>
      <c r="Z137" s="262"/>
      <c r="AA137" s="263" t="str">
        <f t="shared" si="13"/>
        <v/>
      </c>
      <c r="AB137" s="264" t="str">
        <f t="shared" si="14"/>
        <v/>
      </c>
      <c r="AC137" s="258"/>
      <c r="AD137" s="259"/>
      <c r="AE137" s="259"/>
      <c r="AF137" s="265"/>
      <c r="AG137" s="266" t="str">
        <f t="shared" si="15"/>
        <v/>
      </c>
      <c r="AH137" s="261" t="str">
        <f t="shared" si="16"/>
        <v/>
      </c>
      <c r="AI137" s="267" t="str">
        <f t="shared" si="17"/>
        <v/>
      </c>
      <c r="AJ137" s="259"/>
      <c r="AK137" s="259"/>
      <c r="AL137" s="259"/>
      <c r="AM137" s="260"/>
      <c r="AN137" s="260"/>
      <c r="AO137" s="260"/>
    </row>
    <row r="138" spans="13:41" x14ac:dyDescent="0.25">
      <c r="M138" s="257"/>
      <c r="N138" s="258"/>
      <c r="O138" s="259"/>
      <c r="P138" s="259"/>
      <c r="Q138" s="260"/>
      <c r="R138" s="259"/>
      <c r="S138" s="259"/>
      <c r="T138" s="259"/>
      <c r="U138" s="261" t="str">
        <f t="shared" si="12"/>
        <v/>
      </c>
      <c r="V138" s="259"/>
      <c r="W138" s="259"/>
      <c r="X138" s="259"/>
      <c r="Y138" s="259"/>
      <c r="Z138" s="262"/>
      <c r="AA138" s="263" t="str">
        <f t="shared" si="13"/>
        <v/>
      </c>
      <c r="AB138" s="264" t="str">
        <f t="shared" si="14"/>
        <v/>
      </c>
      <c r="AC138" s="258"/>
      <c r="AD138" s="259"/>
      <c r="AE138" s="259"/>
      <c r="AF138" s="265"/>
      <c r="AG138" s="266" t="str">
        <f t="shared" si="15"/>
        <v/>
      </c>
      <c r="AH138" s="261" t="str">
        <f t="shared" si="16"/>
        <v/>
      </c>
      <c r="AI138" s="267" t="str">
        <f t="shared" si="17"/>
        <v/>
      </c>
      <c r="AJ138" s="259"/>
      <c r="AK138" s="259"/>
      <c r="AL138" s="259"/>
      <c r="AM138" s="260"/>
      <c r="AN138" s="260"/>
      <c r="AO138" s="260"/>
    </row>
    <row r="139" spans="13:41" x14ac:dyDescent="0.25">
      <c r="M139" s="257"/>
      <c r="N139" s="258"/>
      <c r="O139" s="259"/>
      <c r="P139" s="259"/>
      <c r="Q139" s="260"/>
      <c r="R139" s="259"/>
      <c r="S139" s="259"/>
      <c r="T139" s="259"/>
      <c r="U139" s="261" t="str">
        <f t="shared" si="12"/>
        <v/>
      </c>
      <c r="V139" s="259"/>
      <c r="W139" s="259"/>
      <c r="X139" s="259"/>
      <c r="Y139" s="259"/>
      <c r="Z139" s="262"/>
      <c r="AA139" s="263" t="str">
        <f t="shared" si="13"/>
        <v/>
      </c>
      <c r="AB139" s="264" t="str">
        <f t="shared" si="14"/>
        <v/>
      </c>
      <c r="AC139" s="258"/>
      <c r="AD139" s="259"/>
      <c r="AE139" s="259"/>
      <c r="AF139" s="265"/>
      <c r="AG139" s="266" t="str">
        <f t="shared" si="15"/>
        <v/>
      </c>
      <c r="AH139" s="261" t="str">
        <f t="shared" si="16"/>
        <v/>
      </c>
      <c r="AI139" s="267" t="str">
        <f t="shared" si="17"/>
        <v/>
      </c>
      <c r="AJ139" s="259"/>
      <c r="AK139" s="259"/>
      <c r="AL139" s="259"/>
      <c r="AM139" s="260"/>
      <c r="AN139" s="260"/>
      <c r="AO139" s="260"/>
    </row>
    <row r="140" spans="13:41" x14ac:dyDescent="0.25">
      <c r="M140" s="257"/>
      <c r="N140" s="258"/>
      <c r="O140" s="259"/>
      <c r="P140" s="259"/>
      <c r="Q140" s="260"/>
      <c r="R140" s="259"/>
      <c r="S140" s="259"/>
      <c r="T140" s="259"/>
      <c r="U140" s="261" t="str">
        <f t="shared" si="12"/>
        <v/>
      </c>
      <c r="V140" s="259"/>
      <c r="W140" s="259"/>
      <c r="X140" s="259"/>
      <c r="Y140" s="259"/>
      <c r="Z140" s="262"/>
      <c r="AA140" s="263" t="str">
        <f t="shared" si="13"/>
        <v/>
      </c>
      <c r="AB140" s="264" t="str">
        <f t="shared" si="14"/>
        <v/>
      </c>
      <c r="AC140" s="258"/>
      <c r="AD140" s="259"/>
      <c r="AE140" s="259"/>
      <c r="AF140" s="265"/>
      <c r="AG140" s="266" t="str">
        <f t="shared" si="15"/>
        <v/>
      </c>
      <c r="AH140" s="261" t="str">
        <f t="shared" si="16"/>
        <v/>
      </c>
      <c r="AI140" s="267" t="str">
        <f t="shared" si="17"/>
        <v/>
      </c>
      <c r="AJ140" s="259"/>
      <c r="AK140" s="259"/>
      <c r="AL140" s="259"/>
      <c r="AM140" s="260"/>
      <c r="AN140" s="260"/>
      <c r="AO140" s="260"/>
    </row>
    <row r="141" spans="13:41" x14ac:dyDescent="0.25">
      <c r="M141" s="257"/>
      <c r="N141" s="258"/>
      <c r="O141" s="259"/>
      <c r="P141" s="259"/>
      <c r="Q141" s="260"/>
      <c r="R141" s="259"/>
      <c r="S141" s="259"/>
      <c r="T141" s="259"/>
      <c r="U141" s="261" t="str">
        <f t="shared" si="12"/>
        <v/>
      </c>
      <c r="V141" s="259"/>
      <c r="W141" s="259"/>
      <c r="X141" s="259"/>
      <c r="Y141" s="259"/>
      <c r="Z141" s="262"/>
      <c r="AA141" s="263" t="str">
        <f t="shared" si="13"/>
        <v/>
      </c>
      <c r="AB141" s="264" t="str">
        <f t="shared" si="14"/>
        <v/>
      </c>
      <c r="AC141" s="258"/>
      <c r="AD141" s="259"/>
      <c r="AE141" s="259"/>
      <c r="AF141" s="265"/>
      <c r="AG141" s="266" t="str">
        <f t="shared" si="15"/>
        <v/>
      </c>
      <c r="AH141" s="261" t="str">
        <f t="shared" si="16"/>
        <v/>
      </c>
      <c r="AI141" s="267" t="str">
        <f t="shared" si="17"/>
        <v/>
      </c>
      <c r="AJ141" s="259"/>
      <c r="AK141" s="259"/>
      <c r="AL141" s="259"/>
      <c r="AM141" s="260"/>
      <c r="AN141" s="260"/>
      <c r="AO141" s="260"/>
    </row>
    <row r="142" spans="13:41" x14ac:dyDescent="0.25">
      <c r="M142" s="257"/>
      <c r="N142" s="258"/>
      <c r="O142" s="259"/>
      <c r="P142" s="259"/>
      <c r="Q142" s="260"/>
      <c r="R142" s="259"/>
      <c r="S142" s="259"/>
      <c r="T142" s="259"/>
      <c r="U142" s="261" t="str">
        <f t="shared" si="12"/>
        <v/>
      </c>
      <c r="V142" s="259"/>
      <c r="W142" s="259"/>
      <c r="X142" s="259"/>
      <c r="Y142" s="259"/>
      <c r="Z142" s="262"/>
      <c r="AA142" s="263" t="str">
        <f t="shared" si="13"/>
        <v/>
      </c>
      <c r="AB142" s="264" t="str">
        <f t="shared" si="14"/>
        <v/>
      </c>
      <c r="AC142" s="258"/>
      <c r="AD142" s="259"/>
      <c r="AE142" s="259"/>
      <c r="AF142" s="265"/>
      <c r="AG142" s="266" t="str">
        <f t="shared" si="15"/>
        <v/>
      </c>
      <c r="AH142" s="261" t="str">
        <f t="shared" si="16"/>
        <v/>
      </c>
      <c r="AI142" s="267" t="str">
        <f t="shared" si="17"/>
        <v/>
      </c>
      <c r="AJ142" s="259"/>
      <c r="AK142" s="259"/>
      <c r="AL142" s="259"/>
      <c r="AM142" s="260"/>
      <c r="AN142" s="260"/>
      <c r="AO142" s="260"/>
    </row>
    <row r="143" spans="13:41" x14ac:dyDescent="0.25">
      <c r="M143" s="257"/>
      <c r="N143" s="258"/>
      <c r="O143" s="259"/>
      <c r="P143" s="259"/>
      <c r="Q143" s="260"/>
      <c r="R143" s="259"/>
      <c r="S143" s="259"/>
      <c r="T143" s="259"/>
      <c r="U143" s="261" t="str">
        <f t="shared" si="12"/>
        <v/>
      </c>
      <c r="V143" s="259"/>
      <c r="W143" s="259"/>
      <c r="X143" s="259"/>
      <c r="Y143" s="259"/>
      <c r="Z143" s="262"/>
      <c r="AA143" s="263" t="str">
        <f t="shared" si="13"/>
        <v/>
      </c>
      <c r="AB143" s="264" t="str">
        <f t="shared" si="14"/>
        <v/>
      </c>
      <c r="AC143" s="258"/>
      <c r="AD143" s="259"/>
      <c r="AE143" s="259"/>
      <c r="AF143" s="265"/>
      <c r="AG143" s="266" t="str">
        <f t="shared" si="15"/>
        <v/>
      </c>
      <c r="AH143" s="261" t="str">
        <f t="shared" si="16"/>
        <v/>
      </c>
      <c r="AI143" s="267" t="str">
        <f t="shared" si="17"/>
        <v/>
      </c>
      <c r="AJ143" s="259"/>
      <c r="AK143" s="259"/>
      <c r="AL143" s="259"/>
      <c r="AM143" s="260"/>
      <c r="AN143" s="260"/>
      <c r="AO143" s="260"/>
    </row>
    <row r="144" spans="13:41" x14ac:dyDescent="0.25">
      <c r="M144" s="257"/>
      <c r="N144" s="258"/>
      <c r="O144" s="259"/>
      <c r="P144" s="259"/>
      <c r="Q144" s="260"/>
      <c r="R144" s="259"/>
      <c r="S144" s="259"/>
      <c r="T144" s="259"/>
      <c r="U144" s="261" t="str">
        <f t="shared" si="12"/>
        <v/>
      </c>
      <c r="V144" s="259"/>
      <c r="W144" s="259"/>
      <c r="X144" s="259"/>
      <c r="Y144" s="259"/>
      <c r="Z144" s="262"/>
      <c r="AA144" s="263" t="str">
        <f t="shared" si="13"/>
        <v/>
      </c>
      <c r="AB144" s="264" t="str">
        <f t="shared" si="14"/>
        <v/>
      </c>
      <c r="AC144" s="258"/>
      <c r="AD144" s="259"/>
      <c r="AE144" s="259"/>
      <c r="AF144" s="265"/>
      <c r="AG144" s="266" t="str">
        <f t="shared" si="15"/>
        <v/>
      </c>
      <c r="AH144" s="261" t="str">
        <f t="shared" si="16"/>
        <v/>
      </c>
      <c r="AI144" s="267" t="str">
        <f t="shared" si="17"/>
        <v/>
      </c>
      <c r="AJ144" s="259"/>
      <c r="AK144" s="259"/>
      <c r="AL144" s="259"/>
      <c r="AM144" s="260"/>
      <c r="AN144" s="260"/>
      <c r="AO144" s="260"/>
    </row>
    <row r="145" spans="13:41" x14ac:dyDescent="0.25">
      <c r="M145" s="257"/>
      <c r="N145" s="258"/>
      <c r="O145" s="259"/>
      <c r="P145" s="259"/>
      <c r="Q145" s="260"/>
      <c r="R145" s="259"/>
      <c r="S145" s="259"/>
      <c r="T145" s="259"/>
      <c r="U145" s="261" t="str">
        <f t="shared" si="12"/>
        <v/>
      </c>
      <c r="V145" s="259"/>
      <c r="W145" s="259"/>
      <c r="X145" s="259"/>
      <c r="Y145" s="259"/>
      <c r="Z145" s="262"/>
      <c r="AA145" s="263" t="str">
        <f t="shared" si="13"/>
        <v/>
      </c>
      <c r="AB145" s="264" t="str">
        <f t="shared" si="14"/>
        <v/>
      </c>
      <c r="AC145" s="258"/>
      <c r="AD145" s="259"/>
      <c r="AE145" s="259"/>
      <c r="AF145" s="265"/>
      <c r="AG145" s="266" t="str">
        <f t="shared" si="15"/>
        <v/>
      </c>
      <c r="AH145" s="261" t="str">
        <f t="shared" si="16"/>
        <v/>
      </c>
      <c r="AI145" s="267" t="str">
        <f t="shared" si="17"/>
        <v/>
      </c>
      <c r="AJ145" s="259"/>
      <c r="AK145" s="259"/>
      <c r="AL145" s="259"/>
      <c r="AM145" s="260"/>
      <c r="AN145" s="260"/>
      <c r="AO145" s="260"/>
    </row>
    <row r="146" spans="13:41" x14ac:dyDescent="0.25">
      <c r="M146" s="257"/>
      <c r="N146" s="258"/>
      <c r="O146" s="259"/>
      <c r="P146" s="259"/>
      <c r="Q146" s="260"/>
      <c r="R146" s="259"/>
      <c r="S146" s="259"/>
      <c r="T146" s="259"/>
      <c r="U146" s="261" t="str">
        <f t="shared" si="12"/>
        <v/>
      </c>
      <c r="V146" s="259"/>
      <c r="W146" s="259"/>
      <c r="X146" s="259"/>
      <c r="Y146" s="259"/>
      <c r="Z146" s="262"/>
      <c r="AA146" s="263" t="str">
        <f t="shared" si="13"/>
        <v/>
      </c>
      <c r="AB146" s="264" t="str">
        <f t="shared" si="14"/>
        <v/>
      </c>
      <c r="AC146" s="258"/>
      <c r="AD146" s="259"/>
      <c r="AE146" s="259"/>
      <c r="AF146" s="265"/>
      <c r="AG146" s="266" t="str">
        <f t="shared" si="15"/>
        <v/>
      </c>
      <c r="AH146" s="261" t="str">
        <f t="shared" si="16"/>
        <v/>
      </c>
      <c r="AI146" s="267" t="str">
        <f t="shared" si="17"/>
        <v/>
      </c>
      <c r="AJ146" s="259"/>
      <c r="AK146" s="259"/>
      <c r="AL146" s="259"/>
      <c r="AM146" s="260"/>
      <c r="AN146" s="260"/>
      <c r="AO146" s="260"/>
    </row>
    <row r="147" spans="13:41" x14ac:dyDescent="0.25">
      <c r="M147" s="257"/>
      <c r="N147" s="258"/>
      <c r="O147" s="259"/>
      <c r="P147" s="259"/>
      <c r="Q147" s="260"/>
      <c r="R147" s="259"/>
      <c r="S147" s="259"/>
      <c r="T147" s="259"/>
      <c r="U147" s="261" t="str">
        <f t="shared" si="12"/>
        <v/>
      </c>
      <c r="V147" s="259"/>
      <c r="W147" s="259"/>
      <c r="X147" s="259"/>
      <c r="Y147" s="259"/>
      <c r="Z147" s="262"/>
      <c r="AA147" s="263" t="str">
        <f t="shared" si="13"/>
        <v/>
      </c>
      <c r="AB147" s="264" t="str">
        <f t="shared" si="14"/>
        <v/>
      </c>
      <c r="AC147" s="258"/>
      <c r="AD147" s="259"/>
      <c r="AE147" s="259"/>
      <c r="AF147" s="265"/>
      <c r="AG147" s="266" t="str">
        <f t="shared" si="15"/>
        <v/>
      </c>
      <c r="AH147" s="261" t="str">
        <f t="shared" si="16"/>
        <v/>
      </c>
      <c r="AI147" s="267" t="str">
        <f t="shared" si="17"/>
        <v/>
      </c>
      <c r="AJ147" s="259"/>
      <c r="AK147" s="259"/>
      <c r="AL147" s="259"/>
      <c r="AM147" s="260"/>
      <c r="AN147" s="260"/>
      <c r="AO147" s="260"/>
    </row>
    <row r="148" spans="13:41" x14ac:dyDescent="0.25">
      <c r="M148" s="257"/>
      <c r="N148" s="258"/>
      <c r="O148" s="259"/>
      <c r="P148" s="259"/>
      <c r="Q148" s="260"/>
      <c r="R148" s="259"/>
      <c r="S148" s="259"/>
      <c r="T148" s="259"/>
      <c r="U148" s="261" t="str">
        <f t="shared" si="12"/>
        <v/>
      </c>
      <c r="V148" s="259"/>
      <c r="W148" s="259"/>
      <c r="X148" s="259"/>
      <c r="Y148" s="259"/>
      <c r="Z148" s="262"/>
      <c r="AA148" s="263" t="str">
        <f t="shared" si="13"/>
        <v/>
      </c>
      <c r="AB148" s="264" t="str">
        <f t="shared" si="14"/>
        <v/>
      </c>
      <c r="AC148" s="258"/>
      <c r="AD148" s="259"/>
      <c r="AE148" s="259"/>
      <c r="AF148" s="265"/>
      <c r="AG148" s="266" t="str">
        <f t="shared" si="15"/>
        <v/>
      </c>
      <c r="AH148" s="261" t="str">
        <f t="shared" si="16"/>
        <v/>
      </c>
      <c r="AI148" s="267" t="str">
        <f t="shared" si="17"/>
        <v/>
      </c>
      <c r="AJ148" s="259"/>
      <c r="AK148" s="259"/>
      <c r="AL148" s="259"/>
      <c r="AM148" s="260"/>
      <c r="AN148" s="260"/>
      <c r="AO148" s="260"/>
    </row>
    <row r="149" spans="13:41" x14ac:dyDescent="0.25">
      <c r="M149" s="257"/>
      <c r="N149" s="258"/>
      <c r="O149" s="259"/>
      <c r="P149" s="259"/>
      <c r="Q149" s="260"/>
      <c r="R149" s="259"/>
      <c r="S149" s="259"/>
      <c r="T149" s="259"/>
      <c r="U149" s="261" t="str">
        <f t="shared" si="12"/>
        <v/>
      </c>
      <c r="V149" s="259"/>
      <c r="W149" s="259"/>
      <c r="X149" s="259"/>
      <c r="Y149" s="259"/>
      <c r="Z149" s="262"/>
      <c r="AA149" s="263" t="str">
        <f t="shared" si="13"/>
        <v/>
      </c>
      <c r="AB149" s="264" t="str">
        <f t="shared" si="14"/>
        <v/>
      </c>
      <c r="AC149" s="258"/>
      <c r="AD149" s="259"/>
      <c r="AE149" s="259"/>
      <c r="AF149" s="265"/>
      <c r="AG149" s="266" t="str">
        <f t="shared" si="15"/>
        <v/>
      </c>
      <c r="AH149" s="261" t="str">
        <f t="shared" si="16"/>
        <v/>
      </c>
      <c r="AI149" s="267" t="str">
        <f t="shared" si="17"/>
        <v/>
      </c>
      <c r="AJ149" s="259"/>
      <c r="AK149" s="259"/>
      <c r="AL149" s="259"/>
      <c r="AM149" s="260"/>
      <c r="AN149" s="260"/>
      <c r="AO149" s="260"/>
    </row>
    <row r="150" spans="13:41" x14ac:dyDescent="0.25">
      <c r="M150" s="257"/>
      <c r="N150" s="258"/>
      <c r="O150" s="259"/>
      <c r="P150" s="259"/>
      <c r="Q150" s="260"/>
      <c r="R150" s="259"/>
      <c r="S150" s="259"/>
      <c r="T150" s="259"/>
      <c r="U150" s="261" t="str">
        <f t="shared" si="12"/>
        <v/>
      </c>
      <c r="V150" s="259"/>
      <c r="W150" s="259"/>
      <c r="X150" s="259"/>
      <c r="Y150" s="259"/>
      <c r="Z150" s="262"/>
      <c r="AA150" s="263" t="str">
        <f t="shared" si="13"/>
        <v/>
      </c>
      <c r="AB150" s="264" t="str">
        <f t="shared" si="14"/>
        <v/>
      </c>
      <c r="AC150" s="258"/>
      <c r="AD150" s="259"/>
      <c r="AE150" s="259"/>
      <c r="AF150" s="265"/>
      <c r="AG150" s="266" t="str">
        <f t="shared" si="15"/>
        <v/>
      </c>
      <c r="AH150" s="261" t="str">
        <f t="shared" si="16"/>
        <v/>
      </c>
      <c r="AI150" s="267" t="str">
        <f t="shared" si="17"/>
        <v/>
      </c>
      <c r="AJ150" s="259"/>
      <c r="AK150" s="259"/>
      <c r="AL150" s="259"/>
      <c r="AM150" s="260"/>
      <c r="AN150" s="260"/>
      <c r="AO150" s="260"/>
    </row>
    <row r="151" spans="13:41" x14ac:dyDescent="0.25">
      <c r="M151" s="257"/>
      <c r="N151" s="258"/>
      <c r="O151" s="259"/>
      <c r="P151" s="259"/>
      <c r="Q151" s="260"/>
      <c r="R151" s="259"/>
      <c r="S151" s="259"/>
      <c r="T151" s="259"/>
      <c r="U151" s="261" t="str">
        <f t="shared" si="12"/>
        <v/>
      </c>
      <c r="V151" s="259"/>
      <c r="W151" s="259"/>
      <c r="X151" s="259"/>
      <c r="Y151" s="259"/>
      <c r="Z151" s="262"/>
      <c r="AA151" s="263" t="str">
        <f t="shared" si="13"/>
        <v/>
      </c>
      <c r="AB151" s="264" t="str">
        <f t="shared" si="14"/>
        <v/>
      </c>
      <c r="AC151" s="258"/>
      <c r="AD151" s="259"/>
      <c r="AE151" s="259"/>
      <c r="AF151" s="265"/>
      <c r="AG151" s="266" t="str">
        <f t="shared" si="15"/>
        <v/>
      </c>
      <c r="AH151" s="261" t="str">
        <f t="shared" si="16"/>
        <v/>
      </c>
      <c r="AI151" s="267" t="str">
        <f t="shared" si="17"/>
        <v/>
      </c>
      <c r="AJ151" s="259"/>
      <c r="AK151" s="259"/>
      <c r="AL151" s="259"/>
      <c r="AM151" s="260"/>
      <c r="AN151" s="260"/>
      <c r="AO151" s="260"/>
    </row>
    <row r="152" spans="13:41" x14ac:dyDescent="0.25">
      <c r="M152" s="257"/>
      <c r="N152" s="258"/>
      <c r="O152" s="259"/>
      <c r="P152" s="259"/>
      <c r="Q152" s="260"/>
      <c r="R152" s="259"/>
      <c r="S152" s="259"/>
      <c r="T152" s="259"/>
      <c r="U152" s="261" t="str">
        <f t="shared" si="12"/>
        <v/>
      </c>
      <c r="V152" s="259"/>
      <c r="W152" s="259"/>
      <c r="X152" s="259"/>
      <c r="Y152" s="259"/>
      <c r="Z152" s="262"/>
      <c r="AA152" s="263" t="str">
        <f t="shared" si="13"/>
        <v/>
      </c>
      <c r="AB152" s="264" t="str">
        <f t="shared" si="14"/>
        <v/>
      </c>
      <c r="AC152" s="258"/>
      <c r="AD152" s="259"/>
      <c r="AE152" s="259"/>
      <c r="AF152" s="265"/>
      <c r="AG152" s="266" t="str">
        <f t="shared" si="15"/>
        <v/>
      </c>
      <c r="AH152" s="261" t="str">
        <f t="shared" si="16"/>
        <v/>
      </c>
      <c r="AI152" s="267" t="str">
        <f t="shared" si="17"/>
        <v/>
      </c>
      <c r="AJ152" s="259"/>
      <c r="AK152" s="259"/>
      <c r="AL152" s="259"/>
      <c r="AM152" s="260"/>
      <c r="AN152" s="260"/>
      <c r="AO152" s="260"/>
    </row>
    <row r="153" spans="13:41" x14ac:dyDescent="0.25">
      <c r="M153" s="257"/>
      <c r="N153" s="258"/>
      <c r="O153" s="259"/>
      <c r="P153" s="259"/>
      <c r="Q153" s="260"/>
      <c r="R153" s="259"/>
      <c r="S153" s="259"/>
      <c r="T153" s="259"/>
      <c r="U153" s="261" t="str">
        <f t="shared" si="12"/>
        <v/>
      </c>
      <c r="V153" s="259"/>
      <c r="W153" s="259"/>
      <c r="X153" s="259"/>
      <c r="Y153" s="259"/>
      <c r="Z153" s="262"/>
      <c r="AA153" s="263" t="str">
        <f t="shared" si="13"/>
        <v/>
      </c>
      <c r="AB153" s="264" t="str">
        <f t="shared" si="14"/>
        <v/>
      </c>
      <c r="AC153" s="258"/>
      <c r="AD153" s="259"/>
      <c r="AE153" s="259"/>
      <c r="AF153" s="265"/>
      <c r="AG153" s="266" t="str">
        <f t="shared" si="15"/>
        <v/>
      </c>
      <c r="AH153" s="261" t="str">
        <f t="shared" si="16"/>
        <v/>
      </c>
      <c r="AI153" s="267" t="str">
        <f t="shared" si="17"/>
        <v/>
      </c>
      <c r="AJ153" s="259"/>
      <c r="AK153" s="259"/>
      <c r="AL153" s="259"/>
      <c r="AM153" s="260"/>
      <c r="AN153" s="260"/>
      <c r="AO153" s="260"/>
    </row>
    <row r="154" spans="13:41" x14ac:dyDescent="0.25">
      <c r="M154" s="257"/>
      <c r="N154" s="258"/>
      <c r="O154" s="259"/>
      <c r="P154" s="259"/>
      <c r="Q154" s="260"/>
      <c r="R154" s="259"/>
      <c r="S154" s="259"/>
      <c r="T154" s="259"/>
      <c r="U154" s="261" t="str">
        <f t="shared" si="12"/>
        <v/>
      </c>
      <c r="V154" s="259"/>
      <c r="W154" s="259"/>
      <c r="X154" s="259"/>
      <c r="Y154" s="259"/>
      <c r="Z154" s="262"/>
      <c r="AA154" s="263" t="str">
        <f t="shared" si="13"/>
        <v/>
      </c>
      <c r="AB154" s="264" t="str">
        <f t="shared" si="14"/>
        <v/>
      </c>
      <c r="AC154" s="258"/>
      <c r="AD154" s="259"/>
      <c r="AE154" s="259"/>
      <c r="AF154" s="265"/>
      <c r="AG154" s="266" t="str">
        <f t="shared" si="15"/>
        <v/>
      </c>
      <c r="AH154" s="261" t="str">
        <f t="shared" si="16"/>
        <v/>
      </c>
      <c r="AI154" s="267" t="str">
        <f t="shared" si="17"/>
        <v/>
      </c>
      <c r="AJ154" s="259"/>
      <c r="AK154" s="259"/>
      <c r="AL154" s="259"/>
      <c r="AM154" s="260"/>
      <c r="AN154" s="260"/>
      <c r="AO154" s="260"/>
    </row>
    <row r="155" spans="13:41" x14ac:dyDescent="0.25">
      <c r="M155" s="257"/>
      <c r="N155" s="258"/>
      <c r="O155" s="259"/>
      <c r="P155" s="259"/>
      <c r="Q155" s="260"/>
      <c r="R155" s="259"/>
      <c r="S155" s="259"/>
      <c r="T155" s="259"/>
      <c r="U155" s="261" t="str">
        <f t="shared" si="12"/>
        <v/>
      </c>
      <c r="V155" s="259"/>
      <c r="W155" s="259"/>
      <c r="X155" s="259"/>
      <c r="Y155" s="259"/>
      <c r="Z155" s="262"/>
      <c r="AA155" s="263" t="str">
        <f t="shared" si="13"/>
        <v/>
      </c>
      <c r="AB155" s="264" t="str">
        <f t="shared" si="14"/>
        <v/>
      </c>
      <c r="AC155" s="258"/>
      <c r="AD155" s="259"/>
      <c r="AE155" s="259"/>
      <c r="AF155" s="265"/>
      <c r="AG155" s="266" t="str">
        <f t="shared" si="15"/>
        <v/>
      </c>
      <c r="AH155" s="261" t="str">
        <f t="shared" si="16"/>
        <v/>
      </c>
      <c r="AI155" s="267" t="str">
        <f t="shared" si="17"/>
        <v/>
      </c>
      <c r="AJ155" s="259"/>
      <c r="AK155" s="259"/>
      <c r="AL155" s="259"/>
      <c r="AM155" s="260"/>
      <c r="AN155" s="260"/>
      <c r="AO155" s="260"/>
    </row>
    <row r="156" spans="13:41" x14ac:dyDescent="0.25">
      <c r="M156" s="257"/>
      <c r="N156" s="258"/>
      <c r="O156" s="259"/>
      <c r="P156" s="259"/>
      <c r="Q156" s="260"/>
      <c r="R156" s="259"/>
      <c r="S156" s="259"/>
      <c r="T156" s="259"/>
      <c r="U156" s="261" t="str">
        <f t="shared" si="12"/>
        <v/>
      </c>
      <c r="V156" s="259"/>
      <c r="W156" s="259"/>
      <c r="X156" s="259"/>
      <c r="Y156" s="259"/>
      <c r="Z156" s="262"/>
      <c r="AA156" s="263" t="str">
        <f t="shared" si="13"/>
        <v/>
      </c>
      <c r="AB156" s="264" t="str">
        <f t="shared" si="14"/>
        <v/>
      </c>
      <c r="AC156" s="258"/>
      <c r="AD156" s="259"/>
      <c r="AE156" s="259"/>
      <c r="AF156" s="265"/>
      <c r="AG156" s="266" t="str">
        <f t="shared" si="15"/>
        <v/>
      </c>
      <c r="AH156" s="261" t="str">
        <f t="shared" si="16"/>
        <v/>
      </c>
      <c r="AI156" s="267" t="str">
        <f t="shared" si="17"/>
        <v/>
      </c>
      <c r="AJ156" s="259"/>
      <c r="AK156" s="259"/>
      <c r="AL156" s="259"/>
      <c r="AM156" s="260"/>
      <c r="AN156" s="260"/>
      <c r="AO156" s="260"/>
    </row>
    <row r="157" spans="13:41" x14ac:dyDescent="0.25">
      <c r="M157" s="257"/>
      <c r="N157" s="258"/>
      <c r="O157" s="259"/>
      <c r="P157" s="259"/>
      <c r="Q157" s="260"/>
      <c r="R157" s="259"/>
      <c r="S157" s="259"/>
      <c r="T157" s="259"/>
      <c r="U157" s="261" t="str">
        <f t="shared" si="12"/>
        <v/>
      </c>
      <c r="V157" s="259"/>
      <c r="W157" s="259"/>
      <c r="X157" s="259"/>
      <c r="Y157" s="259"/>
      <c r="Z157" s="262"/>
      <c r="AA157" s="263" t="str">
        <f t="shared" si="13"/>
        <v/>
      </c>
      <c r="AB157" s="264" t="str">
        <f t="shared" si="14"/>
        <v/>
      </c>
      <c r="AC157" s="258"/>
      <c r="AD157" s="259"/>
      <c r="AE157" s="259"/>
      <c r="AF157" s="265"/>
      <c r="AG157" s="266" t="str">
        <f t="shared" si="15"/>
        <v/>
      </c>
      <c r="AH157" s="261" t="str">
        <f t="shared" si="16"/>
        <v/>
      </c>
      <c r="AI157" s="267" t="str">
        <f t="shared" si="17"/>
        <v/>
      </c>
      <c r="AJ157" s="259"/>
      <c r="AK157" s="259"/>
      <c r="AL157" s="259"/>
      <c r="AM157" s="260"/>
      <c r="AN157" s="260"/>
      <c r="AO157" s="260"/>
    </row>
    <row r="158" spans="13:41" x14ac:dyDescent="0.25">
      <c r="M158" s="257"/>
      <c r="N158" s="258"/>
      <c r="O158" s="259"/>
      <c r="P158" s="259"/>
      <c r="Q158" s="260"/>
      <c r="R158" s="259"/>
      <c r="S158" s="259"/>
      <c r="T158" s="259"/>
      <c r="U158" s="261" t="str">
        <f t="shared" si="12"/>
        <v/>
      </c>
      <c r="V158" s="259"/>
      <c r="W158" s="259"/>
      <c r="X158" s="259"/>
      <c r="Y158" s="259"/>
      <c r="Z158" s="262"/>
      <c r="AA158" s="263" t="str">
        <f t="shared" si="13"/>
        <v/>
      </c>
      <c r="AB158" s="264" t="str">
        <f t="shared" si="14"/>
        <v/>
      </c>
      <c r="AC158" s="258"/>
      <c r="AD158" s="259"/>
      <c r="AE158" s="259"/>
      <c r="AF158" s="265"/>
      <c r="AG158" s="266" t="str">
        <f t="shared" si="15"/>
        <v/>
      </c>
      <c r="AH158" s="261" t="str">
        <f t="shared" si="16"/>
        <v/>
      </c>
      <c r="AI158" s="267" t="str">
        <f t="shared" si="17"/>
        <v/>
      </c>
      <c r="AJ158" s="259"/>
      <c r="AK158" s="259"/>
      <c r="AL158" s="259"/>
      <c r="AM158" s="260"/>
      <c r="AN158" s="260"/>
      <c r="AO158" s="260"/>
    </row>
    <row r="159" spans="13:41" x14ac:dyDescent="0.25">
      <c r="M159" s="257"/>
      <c r="N159" s="258"/>
      <c r="O159" s="259"/>
      <c r="P159" s="259"/>
      <c r="Q159" s="260"/>
      <c r="R159" s="259"/>
      <c r="S159" s="259"/>
      <c r="T159" s="259"/>
      <c r="U159" s="261" t="str">
        <f t="shared" si="12"/>
        <v/>
      </c>
      <c r="V159" s="259"/>
      <c r="W159" s="259"/>
      <c r="X159" s="259"/>
      <c r="Y159" s="259"/>
      <c r="Z159" s="262"/>
      <c r="AA159" s="263" t="str">
        <f t="shared" si="13"/>
        <v/>
      </c>
      <c r="AB159" s="264" t="str">
        <f t="shared" si="14"/>
        <v/>
      </c>
      <c r="AC159" s="258"/>
      <c r="AD159" s="259"/>
      <c r="AE159" s="259"/>
      <c r="AF159" s="265"/>
      <c r="AG159" s="266" t="str">
        <f t="shared" si="15"/>
        <v/>
      </c>
      <c r="AH159" s="261" t="str">
        <f t="shared" si="16"/>
        <v/>
      </c>
      <c r="AI159" s="267" t="str">
        <f t="shared" si="17"/>
        <v/>
      </c>
      <c r="AJ159" s="259"/>
      <c r="AK159" s="259"/>
      <c r="AL159" s="259"/>
      <c r="AM159" s="260"/>
      <c r="AN159" s="260"/>
      <c r="AO159" s="260"/>
    </row>
    <row r="160" spans="13:41" x14ac:dyDescent="0.25">
      <c r="M160" s="257"/>
      <c r="N160" s="258"/>
      <c r="O160" s="259"/>
      <c r="P160" s="259"/>
      <c r="Q160" s="260"/>
      <c r="R160" s="259"/>
      <c r="S160" s="259"/>
      <c r="T160" s="259"/>
      <c r="U160" s="261" t="str">
        <f t="shared" si="12"/>
        <v/>
      </c>
      <c r="V160" s="259"/>
      <c r="W160" s="259"/>
      <c r="X160" s="259"/>
      <c r="Y160" s="259"/>
      <c r="Z160" s="262"/>
      <c r="AA160" s="263" t="str">
        <f t="shared" si="13"/>
        <v/>
      </c>
      <c r="AB160" s="264" t="str">
        <f t="shared" si="14"/>
        <v/>
      </c>
      <c r="AC160" s="258"/>
      <c r="AD160" s="259"/>
      <c r="AE160" s="259"/>
      <c r="AF160" s="265"/>
      <c r="AG160" s="266" t="str">
        <f t="shared" si="15"/>
        <v/>
      </c>
      <c r="AH160" s="261" t="str">
        <f t="shared" si="16"/>
        <v/>
      </c>
      <c r="AI160" s="267" t="str">
        <f t="shared" si="17"/>
        <v/>
      </c>
      <c r="AJ160" s="259"/>
      <c r="AK160" s="259"/>
      <c r="AL160" s="259"/>
      <c r="AM160" s="260"/>
      <c r="AN160" s="260"/>
      <c r="AO160" s="260"/>
    </row>
    <row r="161" spans="13:41" x14ac:dyDescent="0.25">
      <c r="M161" s="257"/>
      <c r="N161" s="258"/>
      <c r="O161" s="259"/>
      <c r="P161" s="259"/>
      <c r="Q161" s="260"/>
      <c r="R161" s="259"/>
      <c r="S161" s="259"/>
      <c r="T161" s="259"/>
      <c r="U161" s="261" t="str">
        <f t="shared" si="12"/>
        <v/>
      </c>
      <c r="V161" s="259"/>
      <c r="W161" s="259"/>
      <c r="X161" s="259"/>
      <c r="Y161" s="259"/>
      <c r="Z161" s="262"/>
      <c r="AA161" s="263" t="str">
        <f t="shared" si="13"/>
        <v/>
      </c>
      <c r="AB161" s="264" t="str">
        <f t="shared" si="14"/>
        <v/>
      </c>
      <c r="AC161" s="258"/>
      <c r="AD161" s="259"/>
      <c r="AE161" s="259"/>
      <c r="AF161" s="265"/>
      <c r="AG161" s="266" t="str">
        <f t="shared" si="15"/>
        <v/>
      </c>
      <c r="AH161" s="261" t="str">
        <f t="shared" si="16"/>
        <v/>
      </c>
      <c r="AI161" s="267" t="str">
        <f t="shared" si="17"/>
        <v/>
      </c>
      <c r="AJ161" s="259"/>
      <c r="AK161" s="259"/>
      <c r="AL161" s="259"/>
      <c r="AM161" s="260"/>
      <c r="AN161" s="260"/>
      <c r="AO161" s="260"/>
    </row>
    <row r="162" spans="13:41" x14ac:dyDescent="0.25">
      <c r="M162" s="257"/>
      <c r="N162" s="258"/>
      <c r="O162" s="259"/>
      <c r="P162" s="259"/>
      <c r="Q162" s="260"/>
      <c r="R162" s="259"/>
      <c r="S162" s="259"/>
      <c r="T162" s="259"/>
      <c r="U162" s="261" t="str">
        <f t="shared" si="12"/>
        <v/>
      </c>
      <c r="V162" s="259"/>
      <c r="W162" s="259"/>
      <c r="X162" s="259"/>
      <c r="Y162" s="259"/>
      <c r="Z162" s="262"/>
      <c r="AA162" s="263" t="str">
        <f t="shared" si="13"/>
        <v/>
      </c>
      <c r="AB162" s="264" t="str">
        <f t="shared" si="14"/>
        <v/>
      </c>
      <c r="AC162" s="258"/>
      <c r="AD162" s="259"/>
      <c r="AE162" s="259"/>
      <c r="AF162" s="265"/>
      <c r="AG162" s="266" t="str">
        <f t="shared" si="15"/>
        <v/>
      </c>
      <c r="AH162" s="261" t="str">
        <f t="shared" si="16"/>
        <v/>
      </c>
      <c r="AI162" s="267" t="str">
        <f t="shared" si="17"/>
        <v/>
      </c>
      <c r="AJ162" s="259"/>
      <c r="AK162" s="259"/>
      <c r="AL162" s="259"/>
      <c r="AM162" s="260"/>
      <c r="AN162" s="260"/>
      <c r="AO162" s="260"/>
    </row>
    <row r="163" spans="13:41" x14ac:dyDescent="0.25">
      <c r="M163" s="257"/>
      <c r="N163" s="258"/>
      <c r="O163" s="259"/>
      <c r="P163" s="259"/>
      <c r="Q163" s="260"/>
      <c r="R163" s="259"/>
      <c r="S163" s="259"/>
      <c r="T163" s="259"/>
      <c r="U163" s="261" t="str">
        <f t="shared" si="12"/>
        <v/>
      </c>
      <c r="V163" s="259"/>
      <c r="W163" s="259"/>
      <c r="X163" s="259"/>
      <c r="Y163" s="259"/>
      <c r="Z163" s="262"/>
      <c r="AA163" s="263" t="str">
        <f t="shared" si="13"/>
        <v/>
      </c>
      <c r="AB163" s="264" t="str">
        <f t="shared" si="14"/>
        <v/>
      </c>
      <c r="AC163" s="258"/>
      <c r="AD163" s="259"/>
      <c r="AE163" s="259"/>
      <c r="AF163" s="265"/>
      <c r="AG163" s="266" t="str">
        <f t="shared" si="15"/>
        <v/>
      </c>
      <c r="AH163" s="261" t="str">
        <f t="shared" si="16"/>
        <v/>
      </c>
      <c r="AI163" s="267" t="str">
        <f t="shared" si="17"/>
        <v/>
      </c>
      <c r="AJ163" s="259"/>
      <c r="AK163" s="259"/>
      <c r="AL163" s="259"/>
      <c r="AM163" s="260"/>
      <c r="AN163" s="260"/>
      <c r="AO163" s="260"/>
    </row>
    <row r="164" spans="13:41" x14ac:dyDescent="0.25">
      <c r="M164" s="257"/>
      <c r="N164" s="258"/>
      <c r="O164" s="259"/>
      <c r="P164" s="259"/>
      <c r="Q164" s="260"/>
      <c r="R164" s="259"/>
      <c r="S164" s="259"/>
      <c r="T164" s="259"/>
      <c r="U164" s="261" t="str">
        <f t="shared" si="12"/>
        <v/>
      </c>
      <c r="V164" s="259"/>
      <c r="W164" s="259"/>
      <c r="X164" s="259"/>
      <c r="Y164" s="259"/>
      <c r="Z164" s="262"/>
      <c r="AA164" s="263" t="str">
        <f t="shared" si="13"/>
        <v/>
      </c>
      <c r="AB164" s="264" t="str">
        <f t="shared" si="14"/>
        <v/>
      </c>
      <c r="AC164" s="258"/>
      <c r="AD164" s="259"/>
      <c r="AE164" s="259"/>
      <c r="AF164" s="265"/>
      <c r="AG164" s="266" t="str">
        <f t="shared" si="15"/>
        <v/>
      </c>
      <c r="AH164" s="261" t="str">
        <f t="shared" si="16"/>
        <v/>
      </c>
      <c r="AI164" s="267" t="str">
        <f t="shared" si="17"/>
        <v/>
      </c>
      <c r="AJ164" s="259"/>
      <c r="AK164" s="259"/>
      <c r="AL164" s="259"/>
      <c r="AM164" s="260"/>
      <c r="AN164" s="260"/>
      <c r="AO164" s="260"/>
    </row>
    <row r="165" spans="13:41" x14ac:dyDescent="0.25">
      <c r="M165" s="257"/>
      <c r="N165" s="258"/>
      <c r="O165" s="259"/>
      <c r="P165" s="259"/>
      <c r="Q165" s="260"/>
      <c r="R165" s="259"/>
      <c r="S165" s="259"/>
      <c r="T165" s="259"/>
      <c r="U165" s="261" t="str">
        <f t="shared" si="12"/>
        <v/>
      </c>
      <c r="V165" s="259"/>
      <c r="W165" s="259"/>
      <c r="X165" s="259"/>
      <c r="Y165" s="259"/>
      <c r="Z165" s="262"/>
      <c r="AA165" s="263" t="str">
        <f t="shared" si="13"/>
        <v/>
      </c>
      <c r="AB165" s="264" t="str">
        <f t="shared" si="14"/>
        <v/>
      </c>
      <c r="AC165" s="258"/>
      <c r="AD165" s="259"/>
      <c r="AE165" s="259"/>
      <c r="AF165" s="265"/>
      <c r="AG165" s="266" t="str">
        <f t="shared" si="15"/>
        <v/>
      </c>
      <c r="AH165" s="261" t="str">
        <f t="shared" si="16"/>
        <v/>
      </c>
      <c r="AI165" s="267" t="str">
        <f t="shared" si="17"/>
        <v/>
      </c>
      <c r="AJ165" s="259"/>
      <c r="AK165" s="259"/>
      <c r="AL165" s="259"/>
      <c r="AM165" s="260"/>
      <c r="AN165" s="260"/>
      <c r="AO165" s="260"/>
    </row>
    <row r="166" spans="13:41" x14ac:dyDescent="0.25">
      <c r="M166" s="257"/>
      <c r="N166" s="258"/>
      <c r="O166" s="259"/>
      <c r="P166" s="259"/>
      <c r="Q166" s="260"/>
      <c r="R166" s="259"/>
      <c r="S166" s="259"/>
      <c r="T166" s="259"/>
      <c r="U166" s="261" t="str">
        <f t="shared" si="12"/>
        <v/>
      </c>
      <c r="V166" s="259"/>
      <c r="W166" s="259"/>
      <c r="X166" s="259"/>
      <c r="Y166" s="259"/>
      <c r="Z166" s="262"/>
      <c r="AA166" s="263" t="str">
        <f t="shared" si="13"/>
        <v/>
      </c>
      <c r="AB166" s="264" t="str">
        <f t="shared" si="14"/>
        <v/>
      </c>
      <c r="AC166" s="258"/>
      <c r="AD166" s="259"/>
      <c r="AE166" s="259"/>
      <c r="AF166" s="265"/>
      <c r="AG166" s="266" t="str">
        <f t="shared" si="15"/>
        <v/>
      </c>
      <c r="AH166" s="261" t="str">
        <f t="shared" si="16"/>
        <v/>
      </c>
      <c r="AI166" s="267" t="str">
        <f t="shared" si="17"/>
        <v/>
      </c>
      <c r="AJ166" s="259"/>
      <c r="AK166" s="259"/>
      <c r="AL166" s="259"/>
      <c r="AM166" s="260"/>
      <c r="AN166" s="260"/>
      <c r="AO166" s="260"/>
    </row>
    <row r="167" spans="13:41" x14ac:dyDescent="0.25">
      <c r="M167" s="257"/>
      <c r="N167" s="258"/>
      <c r="O167" s="259"/>
      <c r="P167" s="259"/>
      <c r="Q167" s="260"/>
      <c r="R167" s="259"/>
      <c r="S167" s="259"/>
      <c r="T167" s="259"/>
      <c r="U167" s="261" t="str">
        <f t="shared" si="12"/>
        <v/>
      </c>
      <c r="V167" s="259"/>
      <c r="W167" s="259"/>
      <c r="X167" s="259"/>
      <c r="Y167" s="259"/>
      <c r="Z167" s="262"/>
      <c r="AA167" s="263" t="str">
        <f t="shared" si="13"/>
        <v/>
      </c>
      <c r="AB167" s="264" t="str">
        <f t="shared" si="14"/>
        <v/>
      </c>
      <c r="AC167" s="258"/>
      <c r="AD167" s="259"/>
      <c r="AE167" s="259"/>
      <c r="AF167" s="265"/>
      <c r="AG167" s="266" t="str">
        <f t="shared" si="15"/>
        <v/>
      </c>
      <c r="AH167" s="261" t="str">
        <f t="shared" si="16"/>
        <v/>
      </c>
      <c r="AI167" s="267" t="str">
        <f t="shared" si="17"/>
        <v/>
      </c>
      <c r="AJ167" s="259"/>
      <c r="AK167" s="259"/>
      <c r="AL167" s="259"/>
      <c r="AM167" s="260"/>
      <c r="AN167" s="260"/>
      <c r="AO167" s="260"/>
    </row>
    <row r="168" spans="13:41" x14ac:dyDescent="0.25">
      <c r="M168" s="257"/>
      <c r="N168" s="258"/>
      <c r="O168" s="259"/>
      <c r="P168" s="259"/>
      <c r="Q168" s="260"/>
      <c r="R168" s="259"/>
      <c r="S168" s="259"/>
      <c r="T168" s="259"/>
      <c r="U168" s="261" t="str">
        <f t="shared" si="12"/>
        <v/>
      </c>
      <c r="V168" s="259"/>
      <c r="W168" s="259"/>
      <c r="X168" s="259"/>
      <c r="Y168" s="259"/>
      <c r="Z168" s="262"/>
      <c r="AA168" s="263" t="str">
        <f t="shared" si="13"/>
        <v/>
      </c>
      <c r="AB168" s="264" t="str">
        <f t="shared" si="14"/>
        <v/>
      </c>
      <c r="AC168" s="258"/>
      <c r="AD168" s="259"/>
      <c r="AE168" s="259"/>
      <c r="AF168" s="265"/>
      <c r="AG168" s="266" t="str">
        <f t="shared" si="15"/>
        <v/>
      </c>
      <c r="AH168" s="261" t="str">
        <f t="shared" si="16"/>
        <v/>
      </c>
      <c r="AI168" s="267" t="str">
        <f t="shared" si="17"/>
        <v/>
      </c>
      <c r="AJ168" s="259"/>
      <c r="AK168" s="259"/>
      <c r="AL168" s="259"/>
      <c r="AM168" s="260"/>
      <c r="AN168" s="260"/>
      <c r="AO168" s="260"/>
    </row>
    <row r="169" spans="13:41" x14ac:dyDescent="0.25">
      <c r="M169" s="257"/>
      <c r="N169" s="258"/>
      <c r="O169" s="259"/>
      <c r="P169" s="259"/>
      <c r="Q169" s="260"/>
      <c r="R169" s="259"/>
      <c r="S169" s="259"/>
      <c r="T169" s="259"/>
      <c r="U169" s="261" t="str">
        <f t="shared" si="12"/>
        <v/>
      </c>
      <c r="V169" s="259"/>
      <c r="W169" s="259"/>
      <c r="X169" s="259"/>
      <c r="Y169" s="259"/>
      <c r="Z169" s="262"/>
      <c r="AA169" s="263" t="str">
        <f t="shared" si="13"/>
        <v/>
      </c>
      <c r="AB169" s="264" t="str">
        <f t="shared" si="14"/>
        <v/>
      </c>
      <c r="AC169" s="258"/>
      <c r="AD169" s="259"/>
      <c r="AE169" s="259"/>
      <c r="AF169" s="265"/>
      <c r="AG169" s="266" t="str">
        <f t="shared" si="15"/>
        <v/>
      </c>
      <c r="AH169" s="261" t="str">
        <f t="shared" si="16"/>
        <v/>
      </c>
      <c r="AI169" s="267" t="str">
        <f t="shared" si="17"/>
        <v/>
      </c>
      <c r="AJ169" s="259"/>
      <c r="AK169" s="259"/>
      <c r="AL169" s="259"/>
      <c r="AM169" s="260"/>
      <c r="AN169" s="260"/>
      <c r="AO169" s="260"/>
    </row>
    <row r="170" spans="13:41" x14ac:dyDescent="0.25">
      <c r="M170" s="257"/>
      <c r="N170" s="258"/>
      <c r="O170" s="259"/>
      <c r="P170" s="259"/>
      <c r="Q170" s="260"/>
      <c r="R170" s="259"/>
      <c r="S170" s="259"/>
      <c r="T170" s="259"/>
      <c r="U170" s="261" t="str">
        <f t="shared" si="12"/>
        <v/>
      </c>
      <c r="V170" s="259"/>
      <c r="W170" s="259"/>
      <c r="X170" s="259"/>
      <c r="Y170" s="259"/>
      <c r="Z170" s="262"/>
      <c r="AA170" s="263" t="str">
        <f t="shared" si="13"/>
        <v/>
      </c>
      <c r="AB170" s="264" t="str">
        <f t="shared" si="14"/>
        <v/>
      </c>
      <c r="AC170" s="258"/>
      <c r="AD170" s="259"/>
      <c r="AE170" s="259"/>
      <c r="AF170" s="265"/>
      <c r="AG170" s="266" t="str">
        <f t="shared" si="15"/>
        <v/>
      </c>
      <c r="AH170" s="261" t="str">
        <f t="shared" si="16"/>
        <v/>
      </c>
      <c r="AI170" s="267" t="str">
        <f t="shared" si="17"/>
        <v/>
      </c>
      <c r="AJ170" s="259"/>
      <c r="AK170" s="259"/>
      <c r="AL170" s="259"/>
      <c r="AM170" s="260"/>
      <c r="AN170" s="260"/>
      <c r="AO170" s="260"/>
    </row>
    <row r="171" spans="13:41" x14ac:dyDescent="0.25">
      <c r="M171" s="257"/>
      <c r="N171" s="258"/>
      <c r="O171" s="259"/>
      <c r="P171" s="259"/>
      <c r="Q171" s="260"/>
      <c r="R171" s="259"/>
      <c r="S171" s="259"/>
      <c r="T171" s="259"/>
      <c r="U171" s="261" t="str">
        <f t="shared" si="12"/>
        <v/>
      </c>
      <c r="V171" s="259"/>
      <c r="W171" s="259"/>
      <c r="X171" s="259"/>
      <c r="Y171" s="259"/>
      <c r="Z171" s="262"/>
      <c r="AA171" s="263" t="str">
        <f t="shared" si="13"/>
        <v/>
      </c>
      <c r="AB171" s="264" t="str">
        <f t="shared" si="14"/>
        <v/>
      </c>
      <c r="AC171" s="258"/>
      <c r="AD171" s="259"/>
      <c r="AE171" s="259"/>
      <c r="AF171" s="265"/>
      <c r="AG171" s="266" t="str">
        <f t="shared" si="15"/>
        <v/>
      </c>
      <c r="AH171" s="261" t="str">
        <f t="shared" si="16"/>
        <v/>
      </c>
      <c r="AI171" s="267" t="str">
        <f t="shared" si="17"/>
        <v/>
      </c>
      <c r="AJ171" s="259"/>
      <c r="AK171" s="259"/>
      <c r="AL171" s="259"/>
      <c r="AM171" s="260"/>
      <c r="AN171" s="260"/>
      <c r="AO171" s="260"/>
    </row>
    <row r="172" spans="13:41" x14ac:dyDescent="0.25">
      <c r="M172" s="257"/>
      <c r="N172" s="258"/>
      <c r="O172" s="259"/>
      <c r="P172" s="259"/>
      <c r="Q172" s="260"/>
      <c r="R172" s="259"/>
      <c r="S172" s="259"/>
      <c r="T172" s="259"/>
      <c r="U172" s="261" t="str">
        <f t="shared" si="12"/>
        <v/>
      </c>
      <c r="V172" s="259"/>
      <c r="W172" s="259"/>
      <c r="X172" s="259"/>
      <c r="Y172" s="259"/>
      <c r="Z172" s="262"/>
      <c r="AA172" s="263" t="str">
        <f t="shared" si="13"/>
        <v/>
      </c>
      <c r="AB172" s="264" t="str">
        <f t="shared" si="14"/>
        <v/>
      </c>
      <c r="AC172" s="258"/>
      <c r="AD172" s="259"/>
      <c r="AE172" s="259"/>
      <c r="AF172" s="265"/>
      <c r="AG172" s="266" t="str">
        <f t="shared" si="15"/>
        <v/>
      </c>
      <c r="AH172" s="261" t="str">
        <f t="shared" si="16"/>
        <v/>
      </c>
      <c r="AI172" s="267" t="str">
        <f t="shared" si="17"/>
        <v/>
      </c>
      <c r="AJ172" s="259"/>
      <c r="AK172" s="259"/>
      <c r="AL172" s="259"/>
      <c r="AM172" s="260"/>
      <c r="AN172" s="260"/>
      <c r="AO172" s="260"/>
    </row>
    <row r="173" spans="13:41" x14ac:dyDescent="0.25">
      <c r="M173" s="257"/>
      <c r="N173" s="258"/>
      <c r="O173" s="259"/>
      <c r="P173" s="259"/>
      <c r="Q173" s="260"/>
      <c r="R173" s="259"/>
      <c r="S173" s="259"/>
      <c r="T173" s="259"/>
      <c r="U173" s="261" t="str">
        <f t="shared" si="12"/>
        <v/>
      </c>
      <c r="V173" s="259"/>
      <c r="W173" s="259"/>
      <c r="X173" s="259"/>
      <c r="Y173" s="259"/>
      <c r="Z173" s="262"/>
      <c r="AA173" s="263" t="str">
        <f t="shared" si="13"/>
        <v/>
      </c>
      <c r="AB173" s="264" t="str">
        <f t="shared" si="14"/>
        <v/>
      </c>
      <c r="AC173" s="258"/>
      <c r="AD173" s="259"/>
      <c r="AE173" s="259"/>
      <c r="AF173" s="265"/>
      <c r="AG173" s="266" t="str">
        <f t="shared" si="15"/>
        <v/>
      </c>
      <c r="AH173" s="261" t="str">
        <f t="shared" si="16"/>
        <v/>
      </c>
      <c r="AI173" s="267" t="str">
        <f t="shared" si="17"/>
        <v/>
      </c>
      <c r="AJ173" s="259"/>
      <c r="AK173" s="259"/>
      <c r="AL173" s="259"/>
      <c r="AM173" s="260"/>
      <c r="AN173" s="260"/>
      <c r="AO173" s="260"/>
    </row>
    <row r="174" spans="13:41" x14ac:dyDescent="0.25">
      <c r="M174" s="257"/>
      <c r="N174" s="258"/>
      <c r="O174" s="259"/>
      <c r="P174" s="259"/>
      <c r="Q174" s="260"/>
      <c r="R174" s="259"/>
      <c r="S174" s="259"/>
      <c r="T174" s="259"/>
      <c r="U174" s="261" t="str">
        <f t="shared" si="12"/>
        <v/>
      </c>
      <c r="V174" s="259"/>
      <c r="W174" s="259"/>
      <c r="X174" s="259"/>
      <c r="Y174" s="259"/>
      <c r="Z174" s="262"/>
      <c r="AA174" s="263" t="str">
        <f t="shared" si="13"/>
        <v/>
      </c>
      <c r="AB174" s="264" t="str">
        <f t="shared" si="14"/>
        <v/>
      </c>
      <c r="AC174" s="258"/>
      <c r="AD174" s="259"/>
      <c r="AE174" s="259"/>
      <c r="AF174" s="265"/>
      <c r="AG174" s="266" t="str">
        <f t="shared" si="15"/>
        <v/>
      </c>
      <c r="AH174" s="261" t="str">
        <f t="shared" si="16"/>
        <v/>
      </c>
      <c r="AI174" s="267" t="str">
        <f t="shared" si="17"/>
        <v/>
      </c>
      <c r="AJ174" s="259"/>
      <c r="AK174" s="259"/>
      <c r="AL174" s="259"/>
      <c r="AM174" s="260"/>
      <c r="AN174" s="260"/>
      <c r="AO174" s="260"/>
    </row>
    <row r="175" spans="13:41" x14ac:dyDescent="0.25">
      <c r="M175" s="257"/>
      <c r="N175" s="258"/>
      <c r="O175" s="259"/>
      <c r="P175" s="259"/>
      <c r="Q175" s="260"/>
      <c r="R175" s="259"/>
      <c r="S175" s="259"/>
      <c r="T175" s="259"/>
      <c r="U175" s="261" t="str">
        <f t="shared" si="12"/>
        <v/>
      </c>
      <c r="V175" s="259"/>
      <c r="W175" s="259"/>
      <c r="X175" s="259"/>
      <c r="Y175" s="259"/>
      <c r="Z175" s="262"/>
      <c r="AA175" s="263" t="str">
        <f t="shared" si="13"/>
        <v/>
      </c>
      <c r="AB175" s="264" t="str">
        <f t="shared" si="14"/>
        <v/>
      </c>
      <c r="AC175" s="258"/>
      <c r="AD175" s="259"/>
      <c r="AE175" s="259"/>
      <c r="AF175" s="265"/>
      <c r="AG175" s="266" t="str">
        <f t="shared" si="15"/>
        <v/>
      </c>
      <c r="AH175" s="261" t="str">
        <f t="shared" si="16"/>
        <v/>
      </c>
      <c r="AI175" s="267" t="str">
        <f t="shared" si="17"/>
        <v/>
      </c>
      <c r="AJ175" s="259"/>
      <c r="AK175" s="259"/>
      <c r="AL175" s="259"/>
      <c r="AM175" s="260"/>
      <c r="AN175" s="260"/>
      <c r="AO175" s="260"/>
    </row>
    <row r="176" spans="13:41" x14ac:dyDescent="0.25">
      <c r="M176" s="257"/>
      <c r="N176" s="258"/>
      <c r="O176" s="259"/>
      <c r="P176" s="259"/>
      <c r="Q176" s="260"/>
      <c r="R176" s="259"/>
      <c r="S176" s="259"/>
      <c r="T176" s="259"/>
      <c r="U176" s="261" t="str">
        <f t="shared" si="12"/>
        <v/>
      </c>
      <c r="V176" s="259"/>
      <c r="W176" s="259"/>
      <c r="X176" s="259"/>
      <c r="Y176" s="259"/>
      <c r="Z176" s="262"/>
      <c r="AA176" s="263" t="str">
        <f t="shared" si="13"/>
        <v/>
      </c>
      <c r="AB176" s="264" t="str">
        <f t="shared" si="14"/>
        <v/>
      </c>
      <c r="AC176" s="258"/>
      <c r="AD176" s="259"/>
      <c r="AE176" s="259"/>
      <c r="AF176" s="265"/>
      <c r="AG176" s="266" t="str">
        <f t="shared" si="15"/>
        <v/>
      </c>
      <c r="AH176" s="261" t="str">
        <f t="shared" si="16"/>
        <v/>
      </c>
      <c r="AI176" s="267" t="str">
        <f t="shared" si="17"/>
        <v/>
      </c>
      <c r="AJ176" s="259"/>
      <c r="AK176" s="259"/>
      <c r="AL176" s="259"/>
      <c r="AM176" s="260"/>
      <c r="AN176" s="260"/>
      <c r="AO176" s="260"/>
    </row>
    <row r="177" spans="13:41" x14ac:dyDescent="0.25">
      <c r="M177" s="257"/>
      <c r="N177" s="258"/>
      <c r="O177" s="259"/>
      <c r="P177" s="259"/>
      <c r="Q177" s="260"/>
      <c r="R177" s="259"/>
      <c r="S177" s="259"/>
      <c r="T177" s="259"/>
      <c r="U177" s="261" t="str">
        <f t="shared" si="12"/>
        <v/>
      </c>
      <c r="V177" s="259"/>
      <c r="W177" s="259"/>
      <c r="X177" s="259"/>
      <c r="Y177" s="259"/>
      <c r="Z177" s="262"/>
      <c r="AA177" s="263" t="str">
        <f t="shared" si="13"/>
        <v/>
      </c>
      <c r="AB177" s="264" t="str">
        <f t="shared" si="14"/>
        <v/>
      </c>
      <c r="AC177" s="258"/>
      <c r="AD177" s="259"/>
      <c r="AE177" s="259"/>
      <c r="AF177" s="265"/>
      <c r="AG177" s="266" t="str">
        <f t="shared" si="15"/>
        <v/>
      </c>
      <c r="AH177" s="261" t="str">
        <f t="shared" si="16"/>
        <v/>
      </c>
      <c r="AI177" s="267" t="str">
        <f t="shared" si="17"/>
        <v/>
      </c>
      <c r="AJ177" s="259"/>
      <c r="AK177" s="259"/>
      <c r="AL177" s="259"/>
      <c r="AM177" s="260"/>
      <c r="AN177" s="260"/>
      <c r="AO177" s="260"/>
    </row>
    <row r="178" spans="13:41" x14ac:dyDescent="0.25">
      <c r="M178" s="257"/>
      <c r="N178" s="258"/>
      <c r="O178" s="259"/>
      <c r="P178" s="259"/>
      <c r="Q178" s="260"/>
      <c r="R178" s="259"/>
      <c r="S178" s="259"/>
      <c r="T178" s="259"/>
      <c r="U178" s="261" t="str">
        <f t="shared" si="12"/>
        <v/>
      </c>
      <c r="V178" s="259"/>
      <c r="W178" s="259"/>
      <c r="X178" s="259"/>
      <c r="Y178" s="259"/>
      <c r="Z178" s="262"/>
      <c r="AA178" s="263" t="str">
        <f t="shared" si="13"/>
        <v/>
      </c>
      <c r="AB178" s="264" t="str">
        <f t="shared" si="14"/>
        <v/>
      </c>
      <c r="AC178" s="258"/>
      <c r="AD178" s="259"/>
      <c r="AE178" s="259"/>
      <c r="AF178" s="265"/>
      <c r="AG178" s="266" t="str">
        <f t="shared" si="15"/>
        <v/>
      </c>
      <c r="AH178" s="261" t="str">
        <f t="shared" si="16"/>
        <v/>
      </c>
      <c r="AI178" s="267" t="str">
        <f t="shared" si="17"/>
        <v/>
      </c>
      <c r="AJ178" s="259"/>
      <c r="AK178" s="259"/>
      <c r="AL178" s="259"/>
      <c r="AM178" s="260"/>
      <c r="AN178" s="260"/>
      <c r="AO178" s="260"/>
    </row>
    <row r="179" spans="13:41" x14ac:dyDescent="0.25">
      <c r="M179" s="257"/>
      <c r="N179" s="258"/>
      <c r="O179" s="259"/>
      <c r="P179" s="259"/>
      <c r="Q179" s="260"/>
      <c r="R179" s="259"/>
      <c r="S179" s="259"/>
      <c r="T179" s="259"/>
      <c r="U179" s="261" t="str">
        <f t="shared" si="12"/>
        <v/>
      </c>
      <c r="V179" s="259"/>
      <c r="W179" s="259"/>
      <c r="X179" s="259"/>
      <c r="Y179" s="259"/>
      <c r="Z179" s="262"/>
      <c r="AA179" s="263" t="str">
        <f t="shared" si="13"/>
        <v/>
      </c>
      <c r="AB179" s="264" t="str">
        <f t="shared" si="14"/>
        <v/>
      </c>
      <c r="AC179" s="258"/>
      <c r="AD179" s="259"/>
      <c r="AE179" s="259"/>
      <c r="AF179" s="265"/>
      <c r="AG179" s="266" t="str">
        <f t="shared" si="15"/>
        <v/>
      </c>
      <c r="AH179" s="261" t="str">
        <f t="shared" si="16"/>
        <v/>
      </c>
      <c r="AI179" s="267" t="str">
        <f t="shared" si="17"/>
        <v/>
      </c>
      <c r="AJ179" s="259"/>
      <c r="AK179" s="259"/>
      <c r="AL179" s="259"/>
      <c r="AM179" s="260"/>
      <c r="AN179" s="260"/>
      <c r="AO179" s="260"/>
    </row>
    <row r="180" spans="13:41" x14ac:dyDescent="0.25">
      <c r="M180" s="257"/>
      <c r="N180" s="258"/>
      <c r="O180" s="259"/>
      <c r="P180" s="259"/>
      <c r="Q180" s="260"/>
      <c r="R180" s="259"/>
      <c r="S180" s="259"/>
      <c r="T180" s="259"/>
      <c r="U180" s="261" t="str">
        <f t="shared" si="12"/>
        <v/>
      </c>
      <c r="V180" s="259"/>
      <c r="W180" s="259"/>
      <c r="X180" s="259"/>
      <c r="Y180" s="259"/>
      <c r="Z180" s="262"/>
      <c r="AA180" s="263" t="str">
        <f t="shared" si="13"/>
        <v/>
      </c>
      <c r="AB180" s="264" t="str">
        <f t="shared" si="14"/>
        <v/>
      </c>
      <c r="AC180" s="258"/>
      <c r="AD180" s="259"/>
      <c r="AE180" s="259"/>
      <c r="AF180" s="265"/>
      <c r="AG180" s="266" t="str">
        <f t="shared" si="15"/>
        <v/>
      </c>
      <c r="AH180" s="261" t="str">
        <f t="shared" si="16"/>
        <v/>
      </c>
      <c r="AI180" s="267" t="str">
        <f t="shared" si="17"/>
        <v/>
      </c>
      <c r="AJ180" s="259"/>
      <c r="AK180" s="259"/>
      <c r="AL180" s="259"/>
      <c r="AM180" s="260"/>
      <c r="AN180" s="260"/>
      <c r="AO180" s="260"/>
    </row>
    <row r="181" spans="13:41" x14ac:dyDescent="0.25">
      <c r="M181" s="257"/>
      <c r="N181" s="258"/>
      <c r="O181" s="259"/>
      <c r="P181" s="259"/>
      <c r="Q181" s="260"/>
      <c r="R181" s="259"/>
      <c r="S181" s="259"/>
      <c r="T181" s="259"/>
      <c r="U181" s="261" t="str">
        <f t="shared" si="12"/>
        <v/>
      </c>
      <c r="V181" s="259"/>
      <c r="W181" s="259"/>
      <c r="X181" s="259"/>
      <c r="Y181" s="259"/>
      <c r="Z181" s="262"/>
      <c r="AA181" s="263" t="str">
        <f t="shared" si="13"/>
        <v/>
      </c>
      <c r="AB181" s="264" t="str">
        <f t="shared" si="14"/>
        <v/>
      </c>
      <c r="AC181" s="258"/>
      <c r="AD181" s="259"/>
      <c r="AE181" s="259"/>
      <c r="AF181" s="265"/>
      <c r="AG181" s="266" t="str">
        <f t="shared" si="15"/>
        <v/>
      </c>
      <c r="AH181" s="261" t="str">
        <f t="shared" si="16"/>
        <v/>
      </c>
      <c r="AI181" s="267" t="str">
        <f t="shared" si="17"/>
        <v/>
      </c>
      <c r="AJ181" s="259"/>
      <c r="AK181" s="259"/>
      <c r="AL181" s="259"/>
      <c r="AM181" s="260"/>
      <c r="AN181" s="260"/>
      <c r="AO181" s="260"/>
    </row>
    <row r="182" spans="13:41" x14ac:dyDescent="0.25">
      <c r="M182" s="257"/>
      <c r="N182" s="258"/>
      <c r="O182" s="259"/>
      <c r="P182" s="259"/>
      <c r="Q182" s="260"/>
      <c r="R182" s="259"/>
      <c r="S182" s="259"/>
      <c r="T182" s="259"/>
      <c r="U182" s="261" t="str">
        <f t="shared" si="12"/>
        <v/>
      </c>
      <c r="V182" s="259"/>
      <c r="W182" s="259"/>
      <c r="X182" s="259"/>
      <c r="Y182" s="259"/>
      <c r="Z182" s="262"/>
      <c r="AA182" s="263" t="str">
        <f t="shared" si="13"/>
        <v/>
      </c>
      <c r="AB182" s="264" t="str">
        <f t="shared" si="14"/>
        <v/>
      </c>
      <c r="AC182" s="258"/>
      <c r="AD182" s="259"/>
      <c r="AE182" s="259"/>
      <c r="AF182" s="265"/>
      <c r="AG182" s="266" t="str">
        <f t="shared" si="15"/>
        <v/>
      </c>
      <c r="AH182" s="261" t="str">
        <f t="shared" si="16"/>
        <v/>
      </c>
      <c r="AI182" s="267" t="str">
        <f t="shared" si="17"/>
        <v/>
      </c>
      <c r="AJ182" s="259"/>
      <c r="AK182" s="259"/>
      <c r="AL182" s="259"/>
      <c r="AM182" s="260"/>
      <c r="AN182" s="260"/>
      <c r="AO182" s="260"/>
    </row>
    <row r="183" spans="13:41" x14ac:dyDescent="0.25">
      <c r="M183" s="257"/>
      <c r="N183" s="258"/>
      <c r="O183" s="259"/>
      <c r="P183" s="259"/>
      <c r="Q183" s="260"/>
      <c r="R183" s="259"/>
      <c r="S183" s="259"/>
      <c r="T183" s="259"/>
      <c r="U183" s="261" t="str">
        <f t="shared" si="12"/>
        <v/>
      </c>
      <c r="V183" s="259"/>
      <c r="W183" s="259"/>
      <c r="X183" s="259"/>
      <c r="Y183" s="259"/>
      <c r="Z183" s="262"/>
      <c r="AA183" s="263" t="str">
        <f t="shared" si="13"/>
        <v/>
      </c>
      <c r="AB183" s="264" t="str">
        <f t="shared" si="14"/>
        <v/>
      </c>
      <c r="AC183" s="258"/>
      <c r="AD183" s="259"/>
      <c r="AE183" s="259"/>
      <c r="AF183" s="265"/>
      <c r="AG183" s="266" t="str">
        <f t="shared" si="15"/>
        <v/>
      </c>
      <c r="AH183" s="261" t="str">
        <f t="shared" si="16"/>
        <v/>
      </c>
      <c r="AI183" s="267" t="str">
        <f t="shared" si="17"/>
        <v/>
      </c>
      <c r="AJ183" s="259"/>
      <c r="AK183" s="259"/>
      <c r="AL183" s="259"/>
      <c r="AM183" s="260"/>
      <c r="AN183" s="260"/>
      <c r="AO183" s="260"/>
    </row>
    <row r="184" spans="13:41" x14ac:dyDescent="0.25">
      <c r="M184" s="257"/>
      <c r="N184" s="258"/>
      <c r="O184" s="259"/>
      <c r="P184" s="259"/>
      <c r="Q184" s="260"/>
      <c r="R184" s="259"/>
      <c r="S184" s="259"/>
      <c r="T184" s="259"/>
      <c r="U184" s="261" t="str">
        <f t="shared" si="12"/>
        <v/>
      </c>
      <c r="V184" s="259"/>
      <c r="W184" s="259"/>
      <c r="X184" s="259"/>
      <c r="Y184" s="259"/>
      <c r="Z184" s="262"/>
      <c r="AA184" s="263" t="str">
        <f t="shared" si="13"/>
        <v/>
      </c>
      <c r="AB184" s="264" t="str">
        <f t="shared" si="14"/>
        <v/>
      </c>
      <c r="AC184" s="258"/>
      <c r="AD184" s="259"/>
      <c r="AE184" s="259"/>
      <c r="AF184" s="265"/>
      <c r="AG184" s="266" t="str">
        <f t="shared" si="15"/>
        <v/>
      </c>
      <c r="AH184" s="261" t="str">
        <f t="shared" si="16"/>
        <v/>
      </c>
      <c r="AI184" s="267" t="str">
        <f t="shared" si="17"/>
        <v/>
      </c>
      <c r="AJ184" s="259"/>
      <c r="AK184" s="259"/>
      <c r="AL184" s="259"/>
      <c r="AM184" s="260"/>
      <c r="AN184" s="260"/>
      <c r="AO184" s="260"/>
    </row>
    <row r="185" spans="13:41" x14ac:dyDescent="0.25">
      <c r="M185" s="257"/>
      <c r="N185" s="258"/>
      <c r="O185" s="259"/>
      <c r="P185" s="259"/>
      <c r="Q185" s="260"/>
      <c r="R185" s="259"/>
      <c r="S185" s="259"/>
      <c r="T185" s="259"/>
      <c r="U185" s="261" t="str">
        <f t="shared" si="12"/>
        <v/>
      </c>
      <c r="V185" s="259"/>
      <c r="W185" s="259"/>
      <c r="X185" s="259"/>
      <c r="Y185" s="259"/>
      <c r="Z185" s="262"/>
      <c r="AA185" s="263" t="str">
        <f t="shared" si="13"/>
        <v/>
      </c>
      <c r="AB185" s="264" t="str">
        <f t="shared" si="14"/>
        <v/>
      </c>
      <c r="AC185" s="258"/>
      <c r="AD185" s="259"/>
      <c r="AE185" s="259"/>
      <c r="AF185" s="265"/>
      <c r="AG185" s="266" t="str">
        <f t="shared" si="15"/>
        <v/>
      </c>
      <c r="AH185" s="261" t="str">
        <f t="shared" si="16"/>
        <v/>
      </c>
      <c r="AI185" s="267" t="str">
        <f t="shared" si="17"/>
        <v/>
      </c>
      <c r="AJ185" s="259"/>
      <c r="AK185" s="259"/>
      <c r="AL185" s="259"/>
      <c r="AM185" s="260"/>
      <c r="AN185" s="260"/>
      <c r="AO185" s="260"/>
    </row>
    <row r="186" spans="13:41" x14ac:dyDescent="0.25">
      <c r="M186" s="257"/>
      <c r="N186" s="258"/>
      <c r="O186" s="259"/>
      <c r="P186" s="259"/>
      <c r="Q186" s="260"/>
      <c r="R186" s="259"/>
      <c r="S186" s="259"/>
      <c r="T186" s="259"/>
      <c r="U186" s="261" t="str">
        <f t="shared" si="12"/>
        <v/>
      </c>
      <c r="V186" s="259"/>
      <c r="W186" s="259"/>
      <c r="X186" s="259"/>
      <c r="Y186" s="259"/>
      <c r="Z186" s="262"/>
      <c r="AA186" s="263" t="str">
        <f t="shared" si="13"/>
        <v/>
      </c>
      <c r="AB186" s="264" t="str">
        <f t="shared" si="14"/>
        <v/>
      </c>
      <c r="AC186" s="258"/>
      <c r="AD186" s="259"/>
      <c r="AE186" s="259"/>
      <c r="AF186" s="265"/>
      <c r="AG186" s="266" t="str">
        <f t="shared" si="15"/>
        <v/>
      </c>
      <c r="AH186" s="261" t="str">
        <f t="shared" si="16"/>
        <v/>
      </c>
      <c r="AI186" s="267" t="str">
        <f t="shared" si="17"/>
        <v/>
      </c>
      <c r="AJ186" s="259"/>
      <c r="AK186" s="259"/>
      <c r="AL186" s="259"/>
      <c r="AM186" s="260"/>
      <c r="AN186" s="260"/>
      <c r="AO186" s="260"/>
    </row>
    <row r="187" spans="13:41" x14ac:dyDescent="0.25">
      <c r="M187" s="257"/>
      <c r="N187" s="258"/>
      <c r="O187" s="259"/>
      <c r="P187" s="259"/>
      <c r="Q187" s="260"/>
      <c r="R187" s="259"/>
      <c r="S187" s="259"/>
      <c r="T187" s="259"/>
      <c r="U187" s="261" t="str">
        <f t="shared" si="12"/>
        <v/>
      </c>
      <c r="V187" s="259"/>
      <c r="W187" s="259"/>
      <c r="X187" s="259"/>
      <c r="Y187" s="259"/>
      <c r="Z187" s="262"/>
      <c r="AA187" s="263" t="str">
        <f t="shared" si="13"/>
        <v/>
      </c>
      <c r="AB187" s="264" t="str">
        <f t="shared" si="14"/>
        <v/>
      </c>
      <c r="AC187" s="258"/>
      <c r="AD187" s="259"/>
      <c r="AE187" s="259"/>
      <c r="AF187" s="265"/>
      <c r="AG187" s="266" t="str">
        <f t="shared" si="15"/>
        <v/>
      </c>
      <c r="AH187" s="261" t="str">
        <f t="shared" si="16"/>
        <v/>
      </c>
      <c r="AI187" s="267" t="str">
        <f t="shared" si="17"/>
        <v/>
      </c>
      <c r="AJ187" s="259"/>
      <c r="AK187" s="259"/>
      <c r="AL187" s="259"/>
      <c r="AM187" s="260"/>
      <c r="AN187" s="260"/>
      <c r="AO187" s="260"/>
    </row>
    <row r="188" spans="13:41" x14ac:dyDescent="0.25">
      <c r="M188" s="257"/>
      <c r="N188" s="258"/>
      <c r="O188" s="259"/>
      <c r="P188" s="259"/>
      <c r="Q188" s="260"/>
      <c r="R188" s="259"/>
      <c r="S188" s="259"/>
      <c r="T188" s="259"/>
      <c r="U188" s="261" t="str">
        <f t="shared" si="12"/>
        <v/>
      </c>
      <c r="V188" s="259"/>
      <c r="W188" s="259"/>
      <c r="X188" s="259"/>
      <c r="Y188" s="259"/>
      <c r="Z188" s="262"/>
      <c r="AA188" s="263" t="str">
        <f t="shared" si="13"/>
        <v/>
      </c>
      <c r="AB188" s="264" t="str">
        <f t="shared" si="14"/>
        <v/>
      </c>
      <c r="AC188" s="258"/>
      <c r="AD188" s="259"/>
      <c r="AE188" s="259"/>
      <c r="AF188" s="265"/>
      <c r="AG188" s="266" t="str">
        <f t="shared" si="15"/>
        <v/>
      </c>
      <c r="AH188" s="261" t="str">
        <f t="shared" si="16"/>
        <v/>
      </c>
      <c r="AI188" s="267" t="str">
        <f t="shared" si="17"/>
        <v/>
      </c>
      <c r="AJ188" s="259"/>
      <c r="AK188" s="259"/>
      <c r="AL188" s="259"/>
      <c r="AM188" s="260"/>
      <c r="AN188" s="260"/>
      <c r="AO188" s="260"/>
    </row>
    <row r="189" spans="13:41" x14ac:dyDescent="0.25">
      <c r="M189" s="257"/>
      <c r="N189" s="258"/>
      <c r="O189" s="259"/>
      <c r="P189" s="259"/>
      <c r="Q189" s="260"/>
      <c r="R189" s="259"/>
      <c r="S189" s="259"/>
      <c r="T189" s="259"/>
      <c r="U189" s="261" t="str">
        <f t="shared" si="12"/>
        <v/>
      </c>
      <c r="V189" s="259"/>
      <c r="W189" s="259"/>
      <c r="X189" s="259"/>
      <c r="Y189" s="259"/>
      <c r="Z189" s="262"/>
      <c r="AA189" s="263" t="str">
        <f t="shared" si="13"/>
        <v/>
      </c>
      <c r="AB189" s="264" t="str">
        <f t="shared" si="14"/>
        <v/>
      </c>
      <c r="AC189" s="258"/>
      <c r="AD189" s="259"/>
      <c r="AE189" s="259"/>
      <c r="AF189" s="265"/>
      <c r="AG189" s="266" t="str">
        <f t="shared" si="15"/>
        <v/>
      </c>
      <c r="AH189" s="261" t="str">
        <f t="shared" si="16"/>
        <v/>
      </c>
      <c r="AI189" s="267" t="str">
        <f t="shared" si="17"/>
        <v/>
      </c>
      <c r="AJ189" s="259"/>
      <c r="AK189" s="259"/>
      <c r="AL189" s="259"/>
      <c r="AM189" s="260"/>
      <c r="AN189" s="260"/>
      <c r="AO189" s="260"/>
    </row>
    <row r="190" spans="13:41" x14ac:dyDescent="0.25">
      <c r="M190" s="257"/>
      <c r="N190" s="258"/>
      <c r="O190" s="259"/>
      <c r="P190" s="259"/>
      <c r="Q190" s="260"/>
      <c r="R190" s="259"/>
      <c r="S190" s="259"/>
      <c r="T190" s="259"/>
      <c r="U190" s="261" t="str">
        <f t="shared" si="12"/>
        <v/>
      </c>
      <c r="V190" s="259"/>
      <c r="W190" s="259"/>
      <c r="X190" s="259"/>
      <c r="Y190" s="259"/>
      <c r="Z190" s="262"/>
      <c r="AA190" s="263" t="str">
        <f t="shared" si="13"/>
        <v/>
      </c>
      <c r="AB190" s="264" t="str">
        <f t="shared" si="14"/>
        <v/>
      </c>
      <c r="AC190" s="258"/>
      <c r="AD190" s="259"/>
      <c r="AE190" s="259"/>
      <c r="AF190" s="265"/>
      <c r="AG190" s="266" t="str">
        <f t="shared" si="15"/>
        <v/>
      </c>
      <c r="AH190" s="261" t="str">
        <f t="shared" si="16"/>
        <v/>
      </c>
      <c r="AI190" s="267" t="str">
        <f t="shared" si="17"/>
        <v/>
      </c>
      <c r="AJ190" s="259"/>
      <c r="AK190" s="259"/>
      <c r="AL190" s="259"/>
      <c r="AM190" s="260"/>
      <c r="AN190" s="260"/>
      <c r="AO190" s="260"/>
    </row>
    <row r="191" spans="13:41" x14ac:dyDescent="0.25">
      <c r="M191" s="257"/>
      <c r="N191" s="258"/>
      <c r="O191" s="259"/>
      <c r="P191" s="259"/>
      <c r="Q191" s="260"/>
      <c r="R191" s="259"/>
      <c r="S191" s="259"/>
      <c r="T191" s="259"/>
      <c r="U191" s="261" t="str">
        <f t="shared" si="12"/>
        <v/>
      </c>
      <c r="V191" s="259"/>
      <c r="W191" s="259"/>
      <c r="X191" s="259"/>
      <c r="Y191" s="259"/>
      <c r="Z191" s="262"/>
      <c r="AA191" s="263" t="str">
        <f t="shared" si="13"/>
        <v/>
      </c>
      <c r="AB191" s="264" t="str">
        <f t="shared" si="14"/>
        <v/>
      </c>
      <c r="AC191" s="258"/>
      <c r="AD191" s="259"/>
      <c r="AE191" s="259"/>
      <c r="AF191" s="265"/>
      <c r="AG191" s="266" t="str">
        <f t="shared" si="15"/>
        <v/>
      </c>
      <c r="AH191" s="261" t="str">
        <f t="shared" si="16"/>
        <v/>
      </c>
      <c r="AI191" s="267" t="str">
        <f t="shared" si="17"/>
        <v/>
      </c>
      <c r="AJ191" s="259"/>
      <c r="AK191" s="259"/>
      <c r="AL191" s="259"/>
      <c r="AM191" s="260"/>
      <c r="AN191" s="260"/>
      <c r="AO191" s="260"/>
    </row>
    <row r="192" spans="13:41" x14ac:dyDescent="0.25">
      <c r="M192" s="257"/>
      <c r="N192" s="258"/>
      <c r="O192" s="259"/>
      <c r="P192" s="259"/>
      <c r="Q192" s="260"/>
      <c r="R192" s="259"/>
      <c r="S192" s="259"/>
      <c r="T192" s="259"/>
      <c r="U192" s="261" t="str">
        <f t="shared" si="12"/>
        <v/>
      </c>
      <c r="V192" s="259"/>
      <c r="W192" s="259"/>
      <c r="X192" s="259"/>
      <c r="Y192" s="259"/>
      <c r="Z192" s="262"/>
      <c r="AA192" s="263" t="str">
        <f t="shared" si="13"/>
        <v/>
      </c>
      <c r="AB192" s="264" t="str">
        <f t="shared" si="14"/>
        <v/>
      </c>
      <c r="AC192" s="258"/>
      <c r="AD192" s="259"/>
      <c r="AE192" s="259"/>
      <c r="AF192" s="265"/>
      <c r="AG192" s="266" t="str">
        <f t="shared" si="15"/>
        <v/>
      </c>
      <c r="AH192" s="261" t="str">
        <f t="shared" si="16"/>
        <v/>
      </c>
      <c r="AI192" s="267" t="str">
        <f t="shared" si="17"/>
        <v/>
      </c>
      <c r="AJ192" s="259"/>
      <c r="AK192" s="259"/>
      <c r="AL192" s="259"/>
      <c r="AM192" s="260"/>
      <c r="AN192" s="260"/>
      <c r="AO192" s="260"/>
    </row>
    <row r="193" spans="13:41" x14ac:dyDescent="0.25">
      <c r="M193" s="257"/>
      <c r="N193" s="258"/>
      <c r="O193" s="259"/>
      <c r="P193" s="259"/>
      <c r="Q193" s="260"/>
      <c r="R193" s="259"/>
      <c r="S193" s="259"/>
      <c r="T193" s="259"/>
      <c r="U193" s="261" t="str">
        <f t="shared" si="12"/>
        <v/>
      </c>
      <c r="V193" s="259"/>
      <c r="W193" s="259"/>
      <c r="X193" s="259"/>
      <c r="Y193" s="259"/>
      <c r="Z193" s="262"/>
      <c r="AA193" s="263" t="str">
        <f t="shared" si="13"/>
        <v/>
      </c>
      <c r="AB193" s="264" t="str">
        <f t="shared" si="14"/>
        <v/>
      </c>
      <c r="AC193" s="258"/>
      <c r="AD193" s="259"/>
      <c r="AE193" s="259"/>
      <c r="AF193" s="265"/>
      <c r="AG193" s="266" t="str">
        <f t="shared" si="15"/>
        <v/>
      </c>
      <c r="AH193" s="261" t="str">
        <f t="shared" si="16"/>
        <v/>
      </c>
      <c r="AI193" s="267" t="str">
        <f t="shared" si="17"/>
        <v/>
      </c>
      <c r="AJ193" s="259"/>
      <c r="AK193" s="259"/>
      <c r="AL193" s="259"/>
      <c r="AM193" s="260"/>
      <c r="AN193" s="260"/>
      <c r="AO193" s="260"/>
    </row>
    <row r="194" spans="13:41" x14ac:dyDescent="0.25">
      <c r="M194" s="257"/>
      <c r="N194" s="258"/>
      <c r="O194" s="259"/>
      <c r="P194" s="259"/>
      <c r="Q194" s="260"/>
      <c r="R194" s="259"/>
      <c r="S194" s="259"/>
      <c r="T194" s="259"/>
      <c r="U194" s="261" t="str">
        <f t="shared" si="12"/>
        <v/>
      </c>
      <c r="V194" s="259"/>
      <c r="W194" s="259"/>
      <c r="X194" s="259"/>
      <c r="Y194" s="259"/>
      <c r="Z194" s="262"/>
      <c r="AA194" s="263" t="str">
        <f t="shared" si="13"/>
        <v/>
      </c>
      <c r="AB194" s="264" t="str">
        <f t="shared" si="14"/>
        <v/>
      </c>
      <c r="AC194" s="258"/>
      <c r="AD194" s="259"/>
      <c r="AE194" s="259"/>
      <c r="AF194" s="265"/>
      <c r="AG194" s="266" t="str">
        <f t="shared" si="15"/>
        <v/>
      </c>
      <c r="AH194" s="261" t="str">
        <f t="shared" si="16"/>
        <v/>
      </c>
      <c r="AI194" s="267" t="str">
        <f t="shared" si="17"/>
        <v/>
      </c>
      <c r="AJ194" s="259"/>
      <c r="AK194" s="259"/>
      <c r="AL194" s="259"/>
      <c r="AM194" s="260"/>
      <c r="AN194" s="260"/>
      <c r="AO194" s="260"/>
    </row>
    <row r="195" spans="13:41" x14ac:dyDescent="0.25">
      <c r="M195" s="257"/>
      <c r="N195" s="258"/>
      <c r="O195" s="259"/>
      <c r="P195" s="259"/>
      <c r="Q195" s="260"/>
      <c r="R195" s="259"/>
      <c r="S195" s="259"/>
      <c r="T195" s="259"/>
      <c r="U195" s="261" t="str">
        <f t="shared" si="12"/>
        <v/>
      </c>
      <c r="V195" s="259"/>
      <c r="W195" s="259"/>
      <c r="X195" s="259"/>
      <c r="Y195" s="259"/>
      <c r="Z195" s="262"/>
      <c r="AA195" s="263" t="str">
        <f t="shared" si="13"/>
        <v/>
      </c>
      <c r="AB195" s="264" t="str">
        <f t="shared" si="14"/>
        <v/>
      </c>
      <c r="AC195" s="258"/>
      <c r="AD195" s="259"/>
      <c r="AE195" s="259"/>
      <c r="AF195" s="265"/>
      <c r="AG195" s="266" t="str">
        <f t="shared" si="15"/>
        <v/>
      </c>
      <c r="AH195" s="261" t="str">
        <f t="shared" si="16"/>
        <v/>
      </c>
      <c r="AI195" s="267" t="str">
        <f t="shared" si="17"/>
        <v/>
      </c>
      <c r="AJ195" s="259"/>
      <c r="AK195" s="259"/>
      <c r="AL195" s="259"/>
      <c r="AM195" s="260"/>
      <c r="AN195" s="260"/>
      <c r="AO195" s="260"/>
    </row>
    <row r="196" spans="13:41" x14ac:dyDescent="0.25">
      <c r="M196" s="257"/>
      <c r="N196" s="258"/>
      <c r="O196" s="259"/>
      <c r="P196" s="259"/>
      <c r="Q196" s="260"/>
      <c r="R196" s="259"/>
      <c r="S196" s="259"/>
      <c r="T196" s="259"/>
      <c r="U196" s="261" t="str">
        <f t="shared" si="12"/>
        <v/>
      </c>
      <c r="V196" s="259"/>
      <c r="W196" s="259"/>
      <c r="X196" s="259"/>
      <c r="Y196" s="259"/>
      <c r="Z196" s="262"/>
      <c r="AA196" s="263" t="str">
        <f t="shared" si="13"/>
        <v/>
      </c>
      <c r="AB196" s="264" t="str">
        <f t="shared" si="14"/>
        <v/>
      </c>
      <c r="AC196" s="258"/>
      <c r="AD196" s="259"/>
      <c r="AE196" s="259"/>
      <c r="AF196" s="265"/>
      <c r="AG196" s="266" t="str">
        <f t="shared" si="15"/>
        <v/>
      </c>
      <c r="AH196" s="261" t="str">
        <f t="shared" si="16"/>
        <v/>
      </c>
      <c r="AI196" s="267" t="str">
        <f t="shared" si="17"/>
        <v/>
      </c>
      <c r="AJ196" s="259"/>
      <c r="AK196" s="259"/>
      <c r="AL196" s="259"/>
      <c r="AM196" s="260"/>
      <c r="AN196" s="260"/>
      <c r="AO196" s="260"/>
    </row>
    <row r="197" spans="13:41" x14ac:dyDescent="0.25">
      <c r="M197" s="257"/>
      <c r="N197" s="258"/>
      <c r="O197" s="259"/>
      <c r="P197" s="259"/>
      <c r="Q197" s="260"/>
      <c r="R197" s="259"/>
      <c r="S197" s="259"/>
      <c r="T197" s="259"/>
      <c r="U197" s="261" t="str">
        <f t="shared" ref="U197:U260" si="18">IF(OR(P197="",T197=""),"",IF(OR(AND(P197="Long",T197="LONG"),AND(P197="Short",T197="SHORT")),"WITH",IF(OR(T197="LONG",T197="SHORT"),"AGAINST","NO PERMISSION")))</f>
        <v/>
      </c>
      <c r="V197" s="259"/>
      <c r="W197" s="259"/>
      <c r="X197" s="259"/>
      <c r="Y197" s="259"/>
      <c r="Z197" s="262"/>
      <c r="AA197" s="263" t="str">
        <f t="shared" ref="AA197:AA260" si="19">IF(OR(Z197="",$N$3=""),"",Z197/$N$3)</f>
        <v/>
      </c>
      <c r="AB197" s="264" t="str">
        <f t="shared" ref="AB197:AB205" si="20">IF(COUNT(V197,W197,X197)&lt;3,"",IFERROR(ABS(X197-V197)/ABS(V197-W197),""))</f>
        <v/>
      </c>
      <c r="AC197" s="258"/>
      <c r="AD197" s="259"/>
      <c r="AE197" s="259"/>
      <c r="AF197" s="265"/>
      <c r="AG197" s="266" t="str">
        <f t="shared" ref="AG197:AG260" si="21">IF(OR(AF197="",Z197=""),"",IFERROR(AF197/Z197,""))</f>
        <v/>
      </c>
      <c r="AH197" s="261" t="str">
        <f t="shared" ref="AH197:AH205" si="22">IF(N197="","",IF(AF197="","OPEN",IF(AF197&gt;0,"WIN",IF(AF197&lt;0,"LOSS","BE"))))</f>
        <v/>
      </c>
      <c r="AI197" s="267" t="str">
        <f t="shared" ref="AI197:AI205" si="23">IF(OR(N197="",AC197=""),"",AC197-N197)</f>
        <v/>
      </c>
      <c r="AJ197" s="259"/>
      <c r="AK197" s="259"/>
      <c r="AL197" s="259"/>
      <c r="AM197" s="260"/>
      <c r="AN197" s="260"/>
      <c r="AO197" s="260"/>
    </row>
    <row r="198" spans="13:41" x14ac:dyDescent="0.25">
      <c r="M198" s="257"/>
      <c r="N198" s="258"/>
      <c r="O198" s="259"/>
      <c r="P198" s="259"/>
      <c r="Q198" s="260"/>
      <c r="R198" s="259"/>
      <c r="S198" s="259"/>
      <c r="T198" s="259"/>
      <c r="U198" s="261" t="str">
        <f t="shared" si="18"/>
        <v/>
      </c>
      <c r="V198" s="259"/>
      <c r="W198" s="259"/>
      <c r="X198" s="259"/>
      <c r="Y198" s="259"/>
      <c r="Z198" s="262"/>
      <c r="AA198" s="263" t="str">
        <f t="shared" si="19"/>
        <v/>
      </c>
      <c r="AB198" s="264" t="str">
        <f t="shared" si="20"/>
        <v/>
      </c>
      <c r="AC198" s="258"/>
      <c r="AD198" s="259"/>
      <c r="AE198" s="259"/>
      <c r="AF198" s="265"/>
      <c r="AG198" s="266" t="str">
        <f t="shared" si="21"/>
        <v/>
      </c>
      <c r="AH198" s="261" t="str">
        <f t="shared" si="22"/>
        <v/>
      </c>
      <c r="AI198" s="267" t="str">
        <f t="shared" si="23"/>
        <v/>
      </c>
      <c r="AJ198" s="259"/>
      <c r="AK198" s="259"/>
      <c r="AL198" s="259"/>
      <c r="AM198" s="260"/>
      <c r="AN198" s="260"/>
      <c r="AO198" s="260"/>
    </row>
    <row r="199" spans="13:41" x14ac:dyDescent="0.25">
      <c r="M199" s="257"/>
      <c r="N199" s="258"/>
      <c r="O199" s="259"/>
      <c r="P199" s="259"/>
      <c r="Q199" s="260"/>
      <c r="R199" s="259"/>
      <c r="S199" s="259"/>
      <c r="T199" s="259"/>
      <c r="U199" s="261" t="str">
        <f t="shared" si="18"/>
        <v/>
      </c>
      <c r="V199" s="259"/>
      <c r="W199" s="259"/>
      <c r="X199" s="259"/>
      <c r="Y199" s="259"/>
      <c r="Z199" s="262"/>
      <c r="AA199" s="263" t="str">
        <f t="shared" si="19"/>
        <v/>
      </c>
      <c r="AB199" s="264" t="str">
        <f t="shared" si="20"/>
        <v/>
      </c>
      <c r="AC199" s="258"/>
      <c r="AD199" s="259"/>
      <c r="AE199" s="259"/>
      <c r="AF199" s="265"/>
      <c r="AG199" s="266" t="str">
        <f t="shared" si="21"/>
        <v/>
      </c>
      <c r="AH199" s="261" t="str">
        <f t="shared" si="22"/>
        <v/>
      </c>
      <c r="AI199" s="267" t="str">
        <f t="shared" si="23"/>
        <v/>
      </c>
      <c r="AJ199" s="259"/>
      <c r="AK199" s="259"/>
      <c r="AL199" s="259"/>
      <c r="AM199" s="260"/>
      <c r="AN199" s="260"/>
      <c r="AO199" s="260"/>
    </row>
    <row r="200" spans="13:41" x14ac:dyDescent="0.25">
      <c r="M200" s="257"/>
      <c r="N200" s="258"/>
      <c r="O200" s="259"/>
      <c r="P200" s="259"/>
      <c r="Q200" s="260"/>
      <c r="R200" s="259"/>
      <c r="S200" s="259"/>
      <c r="T200" s="259"/>
      <c r="U200" s="261" t="str">
        <f t="shared" si="18"/>
        <v/>
      </c>
      <c r="V200" s="259"/>
      <c r="W200" s="259"/>
      <c r="X200" s="259"/>
      <c r="Y200" s="259"/>
      <c r="Z200" s="262"/>
      <c r="AA200" s="263" t="str">
        <f t="shared" si="19"/>
        <v/>
      </c>
      <c r="AB200" s="264" t="str">
        <f t="shared" si="20"/>
        <v/>
      </c>
      <c r="AC200" s="258"/>
      <c r="AD200" s="259"/>
      <c r="AE200" s="259"/>
      <c r="AF200" s="265"/>
      <c r="AG200" s="266" t="str">
        <f t="shared" si="21"/>
        <v/>
      </c>
      <c r="AH200" s="261" t="str">
        <f t="shared" si="22"/>
        <v/>
      </c>
      <c r="AI200" s="267" t="str">
        <f t="shared" si="23"/>
        <v/>
      </c>
      <c r="AJ200" s="259"/>
      <c r="AK200" s="259"/>
      <c r="AL200" s="259"/>
      <c r="AM200" s="260"/>
      <c r="AN200" s="260"/>
      <c r="AO200" s="260"/>
    </row>
    <row r="201" spans="13:41" x14ac:dyDescent="0.25">
      <c r="M201" s="257"/>
      <c r="N201" s="258"/>
      <c r="O201" s="259"/>
      <c r="P201" s="259"/>
      <c r="Q201" s="260"/>
      <c r="R201" s="259"/>
      <c r="S201" s="259"/>
      <c r="T201" s="259"/>
      <c r="U201" s="261" t="str">
        <f t="shared" si="18"/>
        <v/>
      </c>
      <c r="V201" s="259"/>
      <c r="W201" s="259"/>
      <c r="X201" s="259"/>
      <c r="Y201" s="259"/>
      <c r="Z201" s="262"/>
      <c r="AA201" s="263" t="str">
        <f t="shared" si="19"/>
        <v/>
      </c>
      <c r="AB201" s="264" t="str">
        <f t="shared" si="20"/>
        <v/>
      </c>
      <c r="AC201" s="258"/>
      <c r="AD201" s="259"/>
      <c r="AE201" s="259"/>
      <c r="AF201" s="265"/>
      <c r="AG201" s="266" t="str">
        <f t="shared" si="21"/>
        <v/>
      </c>
      <c r="AH201" s="261" t="str">
        <f t="shared" si="22"/>
        <v/>
      </c>
      <c r="AI201" s="267" t="str">
        <f t="shared" si="23"/>
        <v/>
      </c>
      <c r="AJ201" s="259"/>
      <c r="AK201" s="259"/>
      <c r="AL201" s="259"/>
      <c r="AM201" s="260"/>
      <c r="AN201" s="260"/>
      <c r="AO201" s="260"/>
    </row>
    <row r="202" spans="13:41" x14ac:dyDescent="0.25">
      <c r="M202" s="257"/>
      <c r="N202" s="258"/>
      <c r="O202" s="259"/>
      <c r="P202" s="259"/>
      <c r="Q202" s="260"/>
      <c r="R202" s="259"/>
      <c r="S202" s="259"/>
      <c r="T202" s="259"/>
      <c r="U202" s="261" t="str">
        <f t="shared" si="18"/>
        <v/>
      </c>
      <c r="V202" s="259"/>
      <c r="W202" s="259"/>
      <c r="X202" s="259"/>
      <c r="Y202" s="259"/>
      <c r="Z202" s="262"/>
      <c r="AA202" s="263" t="str">
        <f t="shared" si="19"/>
        <v/>
      </c>
      <c r="AB202" s="264" t="str">
        <f t="shared" si="20"/>
        <v/>
      </c>
      <c r="AC202" s="258"/>
      <c r="AD202" s="259"/>
      <c r="AE202" s="259"/>
      <c r="AF202" s="265"/>
      <c r="AG202" s="266" t="str">
        <f t="shared" si="21"/>
        <v/>
      </c>
      <c r="AH202" s="261" t="str">
        <f t="shared" si="22"/>
        <v/>
      </c>
      <c r="AI202" s="267" t="str">
        <f t="shared" si="23"/>
        <v/>
      </c>
      <c r="AJ202" s="259"/>
      <c r="AK202" s="259"/>
      <c r="AL202" s="259"/>
      <c r="AM202" s="260"/>
      <c r="AN202" s="260"/>
      <c r="AO202" s="260"/>
    </row>
    <row r="203" spans="13:41" x14ac:dyDescent="0.25">
      <c r="M203" s="257"/>
      <c r="N203" s="258"/>
      <c r="O203" s="259"/>
      <c r="P203" s="259"/>
      <c r="Q203" s="260"/>
      <c r="R203" s="259"/>
      <c r="S203" s="259"/>
      <c r="T203" s="259"/>
      <c r="U203" s="261" t="str">
        <f t="shared" si="18"/>
        <v/>
      </c>
      <c r="V203" s="259"/>
      <c r="W203" s="259"/>
      <c r="X203" s="259"/>
      <c r="Y203" s="259"/>
      <c r="Z203" s="262"/>
      <c r="AA203" s="263" t="str">
        <f t="shared" si="19"/>
        <v/>
      </c>
      <c r="AB203" s="264" t="str">
        <f t="shared" si="20"/>
        <v/>
      </c>
      <c r="AC203" s="258"/>
      <c r="AD203" s="259"/>
      <c r="AE203" s="259"/>
      <c r="AF203" s="265"/>
      <c r="AG203" s="266" t="str">
        <f t="shared" si="21"/>
        <v/>
      </c>
      <c r="AH203" s="261" t="str">
        <f t="shared" si="22"/>
        <v/>
      </c>
      <c r="AI203" s="267" t="str">
        <f t="shared" si="23"/>
        <v/>
      </c>
      <c r="AJ203" s="259"/>
      <c r="AK203" s="259"/>
      <c r="AL203" s="259"/>
      <c r="AM203" s="260"/>
      <c r="AN203" s="260"/>
      <c r="AO203" s="260"/>
    </row>
    <row r="204" spans="13:41" x14ac:dyDescent="0.25">
      <c r="M204" s="257"/>
      <c r="N204" s="258"/>
      <c r="O204" s="259"/>
      <c r="P204" s="259"/>
      <c r="Q204" s="260"/>
      <c r="R204" s="259"/>
      <c r="S204" s="259"/>
      <c r="T204" s="259"/>
      <c r="U204" s="261" t="str">
        <f t="shared" si="18"/>
        <v/>
      </c>
      <c r="V204" s="259"/>
      <c r="W204" s="259"/>
      <c r="X204" s="259"/>
      <c r="Y204" s="259"/>
      <c r="Z204" s="262"/>
      <c r="AA204" s="263" t="str">
        <f t="shared" si="19"/>
        <v/>
      </c>
      <c r="AB204" s="264" t="str">
        <f t="shared" si="20"/>
        <v/>
      </c>
      <c r="AC204" s="258"/>
      <c r="AD204" s="259"/>
      <c r="AE204" s="259"/>
      <c r="AF204" s="265"/>
      <c r="AG204" s="266" t="str">
        <f t="shared" si="21"/>
        <v/>
      </c>
      <c r="AH204" s="261" t="str">
        <f t="shared" si="22"/>
        <v/>
      </c>
      <c r="AI204" s="267" t="str">
        <f t="shared" si="23"/>
        <v/>
      </c>
      <c r="AJ204" s="259"/>
      <c r="AK204" s="259"/>
      <c r="AL204" s="259"/>
      <c r="AM204" s="260"/>
      <c r="AN204" s="260"/>
      <c r="AO204" s="260"/>
    </row>
    <row r="205" spans="13:41" x14ac:dyDescent="0.25">
      <c r="M205" s="257"/>
      <c r="N205" s="258"/>
      <c r="O205" s="259"/>
      <c r="P205" s="259"/>
      <c r="Q205" s="260"/>
      <c r="R205" s="259"/>
      <c r="S205" s="259"/>
      <c r="T205" s="259"/>
      <c r="U205" s="261" t="str">
        <f t="shared" si="18"/>
        <v/>
      </c>
      <c r="V205" s="259"/>
      <c r="W205" s="259"/>
      <c r="X205" s="259"/>
      <c r="Y205" s="259"/>
      <c r="Z205" s="262"/>
      <c r="AA205" s="263" t="str">
        <f t="shared" si="19"/>
        <v/>
      </c>
      <c r="AB205" s="264" t="str">
        <f t="shared" si="20"/>
        <v/>
      </c>
      <c r="AC205" s="258"/>
      <c r="AD205" s="259"/>
      <c r="AE205" s="259"/>
      <c r="AF205" s="265"/>
      <c r="AG205" s="266" t="str">
        <f t="shared" si="21"/>
        <v/>
      </c>
      <c r="AH205" s="261" t="str">
        <f t="shared" si="22"/>
        <v/>
      </c>
      <c r="AI205" s="267" t="str">
        <f t="shared" si="23"/>
        <v/>
      </c>
      <c r="AJ205" s="259"/>
      <c r="AK205" s="259"/>
      <c r="AL205" s="259"/>
      <c r="AM205" s="260"/>
      <c r="AN205" s="260"/>
      <c r="AO205" s="260"/>
    </row>
  </sheetData>
  <conditionalFormatting sqref="C5:C55">
    <cfRule type="expression" dxfId="44" priority="2">
      <formula>ISNUMBER(SEARCH("LONG",C5))</formula>
    </cfRule>
    <cfRule type="expression" dxfId="43" priority="3">
      <formula>ISNUMBER(SEARCH("SHORT",C5))</formula>
    </cfRule>
    <cfRule type="expression" dxfId="42" priority="3" stopIfTrue="1">
      <formula>ISNUMBER(SEARCH("FLAT",C5))</formula>
    </cfRule>
  </conditionalFormatting>
  <conditionalFormatting sqref="E5:E55">
    <cfRule type="expression" dxfId="41" priority="4" stopIfTrue="1">
      <formula>ISNUMBER(SEARCH("RISK-ON",E5))</formula>
    </cfRule>
    <cfRule type="expression" dxfId="40" priority="5" stopIfTrue="1">
      <formula>ISNUMBER(SEARCH("RISK-OFF",E5))</formula>
    </cfRule>
    <cfRule type="expression" dxfId="39" priority="6" stopIfTrue="1">
      <formula>ISNUMBER(SEARCH("CAUTION",E5))</formula>
    </cfRule>
  </conditionalFormatting>
  <conditionalFormatting sqref="J5:J55">
    <cfRule type="expression" dxfId="38" priority="7" stopIfTrue="1">
      <formula>ISNUMBER(SEARCH("Yes",J5))</formula>
    </cfRule>
    <cfRule type="expression" dxfId="37" priority="8" stopIfTrue="1">
      <formula>ISNUMBER(SEARCH("Partly",J5))</formula>
    </cfRule>
    <cfRule type="expression" dxfId="36" priority="9" stopIfTrue="1">
      <formula>ISNUMBER(SEARCH("No",J5))</formula>
    </cfRule>
  </conditionalFormatting>
  <conditionalFormatting sqref="P5:P205">
    <cfRule type="expression" dxfId="35" priority="10">
      <formula>P5="Long"</formula>
    </cfRule>
    <cfRule type="expression" dxfId="34" priority="11">
      <formula>P5="Short"</formula>
    </cfRule>
  </conditionalFormatting>
  <conditionalFormatting sqref="U5:U205">
    <cfRule type="expression" dxfId="33" priority="12">
      <formula>U5="WITH"</formula>
    </cfRule>
    <cfRule type="expression" dxfId="32" priority="13">
      <formula>U5="AGAINST"</formula>
    </cfRule>
    <cfRule type="expression" dxfId="31" priority="14">
      <formula>U5="NO PERMISSION"</formula>
    </cfRule>
  </conditionalFormatting>
  <conditionalFormatting sqref="AG5:AG205">
    <cfRule type="expression" dxfId="30" priority="22">
      <formula>AND(ISNUMBER(AG5),AG5&gt;0)</formula>
    </cfRule>
    <cfRule type="expression" dxfId="29" priority="23">
      <formula>AND(ISNUMBER(AG5),AG5&lt;0)</formula>
    </cfRule>
  </conditionalFormatting>
  <conditionalFormatting sqref="AH5:AH205">
    <cfRule type="expression" dxfId="28" priority="15">
      <formula>AH5="WIN"</formula>
    </cfRule>
    <cfRule type="expression" dxfId="27" priority="16">
      <formula>AH5="LOSS"</formula>
    </cfRule>
    <cfRule type="expression" dxfId="26" priority="17">
      <formula>AH5="BE"</formula>
    </cfRule>
    <cfRule type="expression" dxfId="25" priority="18">
      <formula>AH5="OPEN"</formula>
    </cfRule>
  </conditionalFormatting>
  <conditionalFormatting sqref="AJ5:AJ205">
    <cfRule type="expression" dxfId="24" priority="19">
      <formula>AJ5="Yes"</formula>
    </cfRule>
    <cfRule type="expression" dxfId="23" priority="20">
      <formula>AJ5="Partly"</formula>
    </cfRule>
    <cfRule type="expression" dxfId="22" priority="21">
      <formula>AJ5="No"</formula>
    </cfRule>
  </conditionalFormatting>
  <dataValidations count="13">
    <dataValidation type="list" sqref="C5:C55" xr:uid="{00000000-0002-0000-0900-000000000000}">
      <formula1>"LONG,SHORT,FLAT"</formula1>
      <formula2>0</formula2>
    </dataValidation>
    <dataValidation type="list" sqref="E5:E55" xr:uid="{00000000-0002-0000-0900-000001000000}">
      <formula1>"RISK-ON,CAUTION,RISK-OFF"</formula1>
      <formula2>0</formula2>
    </dataValidation>
    <dataValidation type="list" sqref="J5:J55" xr:uid="{00000000-0002-0000-0900-000002000000}">
      <formula1>"Yes,No,Partly"</formula1>
      <formula2>0</formula2>
    </dataValidation>
    <dataValidation type="list" sqref="B5:B55" xr:uid="{00000000-0002-0000-0900-000003000000}">
      <formula1>"EURUSD,GBPUSD,USDJPY,XAUUSD"</formula1>
      <formula2>0</formula2>
    </dataValidation>
    <dataValidation type="list" allowBlank="1" sqref="O5:O205" xr:uid="{00000000-0002-0000-0900-000004000000}">
      <formula1>"EURUSD,GBPUSD,USDJPY,XAUUSD,NAS100"</formula1>
    </dataValidation>
    <dataValidation type="list" allowBlank="1" showErrorMessage="1" sqref="P5:P205" xr:uid="{00000000-0002-0000-0900-000005000000}">
      <formula1>"Long,Short"</formula1>
    </dataValidation>
    <dataValidation type="list" allowBlank="1" sqref="R5:R205" xr:uid="{00000000-0002-0000-0900-000006000000}">
      <formula1>"M1,M5,M15,M30,H1,H4,D1,W1"</formula1>
    </dataValidation>
    <dataValidation type="list" allowBlank="1" showErrorMessage="1" sqref="S5:S205" xr:uid="{00000000-0002-0000-0900-000007000000}">
      <formula1>"Asia,London,New York,London-NY overlap,Off-hours"</formula1>
    </dataValidation>
    <dataValidation type="list" allowBlank="1" showErrorMessage="1" sqref="T5:T205" xr:uid="{00000000-0002-0000-0900-000008000000}">
      <formula1>"LONG,SHORT,FLAT,EXPIRED,none"</formula1>
    </dataValidation>
    <dataValidation type="list" allowBlank="1" showErrorMessage="1" sqref="AE5:AE205" xr:uid="{00000000-0002-0000-0900-000009000000}">
      <formula1>"TP hit,SL hit,Trailing stop,Manual - plan,Manual - emotion,Time stop,Breakeven,Invalidation"</formula1>
    </dataValidation>
    <dataValidation type="list" allowBlank="1" showErrorMessage="1" sqref="AJ5:AJ205" xr:uid="{00000000-0002-0000-0900-00000A000000}">
      <formula1>"Yes,Partly,No"</formula1>
    </dataValidation>
    <dataValidation type="list" allowBlank="1" sqref="AK5:AK205" xr:uid="{00000000-0002-0000-0900-00000B000000}">
      <formula1>"Calm,Confident,FOMO,Fear,Revenge,Overconfident,Bored,Tired"</formula1>
    </dataValidation>
    <dataValidation type="list" allowBlank="1" showErrorMessage="1" sqref="AL5:AL205" xr:uid="{00000000-0002-0000-0900-00000C000000}">
      <formula1>"A+,A,B,C"</formula1>
    </dataValidation>
  </dataValidations>
  <hyperlinks>
    <hyperlink ref="K1" location="'Guide'!A1" display="← Guide" xr:uid="{00000000-0004-0000-0900-000000000000}"/>
  </hyperlinks>
  <pageMargins left="0.75" right="0.75" top="1" bottom="1" header="0.511811023622047" footer="0.511811023622047"/>
  <pageSetup paperSize="9" fitToHeight="0" orientation="landscape"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pageSetUpPr fitToPage="1"/>
  </sheetPr>
  <dimension ref="A1:H59"/>
  <sheetViews>
    <sheetView showGridLines="0" zoomScaleNormal="100" workbookViewId="0">
      <pane ySplit="2" topLeftCell="A15" activePane="bottomLeft" state="frozen"/>
      <selection activeCell="N13" sqref="N13"/>
      <selection pane="bottomLeft" activeCell="O8" sqref="O8"/>
    </sheetView>
  </sheetViews>
  <sheetFormatPr defaultColWidth="8.7109375" defaultRowHeight="15" x14ac:dyDescent="0.25"/>
  <cols>
    <col min="1" max="1" width="30" customWidth="1"/>
    <col min="2" max="2" width="52" customWidth="1"/>
    <col min="3" max="3" width="44" customWidth="1"/>
    <col min="4" max="4" width="21" customWidth="1"/>
    <col min="5" max="5" width="16" customWidth="1"/>
    <col min="6" max="6" width="24" customWidth="1"/>
    <col min="7" max="7" width="18" customWidth="1"/>
    <col min="8" max="8" width="14" customWidth="1"/>
    <col min="9" max="9" width="4" customWidth="1"/>
  </cols>
  <sheetData>
    <row r="1" spans="1:8" ht="33.950000000000003" customHeight="1" x14ac:dyDescent="0.25">
      <c r="A1" s="314" t="s">
        <v>675</v>
      </c>
      <c r="B1" s="273"/>
      <c r="C1" s="273"/>
      <c r="D1" s="273"/>
      <c r="E1" s="273"/>
      <c r="F1" s="273"/>
      <c r="G1" s="3"/>
      <c r="H1" s="45" t="s">
        <v>1</v>
      </c>
    </row>
    <row r="2" spans="1:8" ht="20.100000000000001" customHeight="1" x14ac:dyDescent="0.25">
      <c r="A2" s="317" t="s">
        <v>676</v>
      </c>
      <c r="B2" s="273"/>
      <c r="C2" s="273"/>
      <c r="D2" s="273"/>
      <c r="E2" s="273"/>
      <c r="F2" s="273"/>
      <c r="G2" s="273"/>
      <c r="H2" s="7"/>
    </row>
    <row r="3" spans="1:8" ht="8.1" customHeight="1" x14ac:dyDescent="0.25">
      <c r="A3" s="7"/>
      <c r="B3" s="7"/>
      <c r="C3" s="7"/>
      <c r="D3" s="7"/>
      <c r="E3" s="7"/>
      <c r="F3" s="7"/>
      <c r="G3" s="7"/>
      <c r="H3" s="7"/>
    </row>
    <row r="4" spans="1:8" ht="24" customHeight="1" thickBot="1" x14ac:dyDescent="0.3">
      <c r="A4" s="268" t="s">
        <v>677</v>
      </c>
      <c r="B4" s="269"/>
      <c r="C4" s="269"/>
      <c r="D4" s="269"/>
      <c r="E4" s="269"/>
      <c r="F4" s="269"/>
      <c r="G4" s="269"/>
      <c r="H4" s="269"/>
    </row>
    <row r="5" spans="1:8" ht="18.600000000000001" customHeight="1" x14ac:dyDescent="0.25">
      <c r="A5" s="8" t="s">
        <v>583</v>
      </c>
      <c r="B5" s="46" t="s">
        <v>678</v>
      </c>
      <c r="C5" s="46" t="s">
        <v>679</v>
      </c>
      <c r="D5" s="46" t="s">
        <v>680</v>
      </c>
      <c r="E5" s="46" t="s">
        <v>338</v>
      </c>
      <c r="F5" s="46" t="s">
        <v>520</v>
      </c>
      <c r="G5" s="46" t="s">
        <v>681</v>
      </c>
      <c r="H5" s="46" t="s">
        <v>682</v>
      </c>
    </row>
    <row r="6" spans="1:8" ht="44.1" customHeight="1" x14ac:dyDescent="0.25">
      <c r="A6" s="171" t="s">
        <v>276</v>
      </c>
      <c r="B6" s="56" t="s">
        <v>683</v>
      </c>
      <c r="C6" s="56" t="s">
        <v>684</v>
      </c>
      <c r="D6" s="102">
        <v>46310</v>
      </c>
      <c r="E6" s="53" t="str">
        <f t="shared" ref="E6:E13" ca="1" si="0">IF(D6="","NOT CHECKED",IF(TODAY()-D6&gt;14,"STALE","OK"))</f>
        <v>OK</v>
      </c>
      <c r="F6" s="103" t="s">
        <v>150</v>
      </c>
      <c r="G6" s="103" t="s">
        <v>685</v>
      </c>
      <c r="H6" s="103" t="s">
        <v>686</v>
      </c>
    </row>
    <row r="7" spans="1:8" ht="44.1" customHeight="1" x14ac:dyDescent="0.25">
      <c r="A7" s="172" t="s">
        <v>283</v>
      </c>
      <c r="B7" s="56" t="s">
        <v>687</v>
      </c>
      <c r="C7" s="56" t="s">
        <v>688</v>
      </c>
      <c r="D7" s="102">
        <v>46310</v>
      </c>
      <c r="E7" s="53" t="str">
        <f t="shared" ca="1" si="0"/>
        <v>OK</v>
      </c>
      <c r="F7" s="103" t="s">
        <v>689</v>
      </c>
      <c r="G7" s="103" t="s">
        <v>685</v>
      </c>
      <c r="H7" s="103" t="s">
        <v>686</v>
      </c>
    </row>
    <row r="8" spans="1:8" ht="44.1" customHeight="1" x14ac:dyDescent="0.25">
      <c r="A8" s="173" t="s">
        <v>289</v>
      </c>
      <c r="B8" s="56" t="s">
        <v>690</v>
      </c>
      <c r="C8" s="56" t="s">
        <v>691</v>
      </c>
      <c r="D8" s="102">
        <v>46310</v>
      </c>
      <c r="E8" s="53" t="str">
        <f t="shared" ca="1" si="0"/>
        <v>OK</v>
      </c>
      <c r="F8" s="103" t="s">
        <v>692</v>
      </c>
      <c r="G8" s="103" t="s">
        <v>685</v>
      </c>
      <c r="H8" s="103" t="s">
        <v>686</v>
      </c>
    </row>
    <row r="9" spans="1:8" ht="44.1" customHeight="1" x14ac:dyDescent="0.25">
      <c r="A9" s="174" t="s">
        <v>294</v>
      </c>
      <c r="B9" s="56" t="s">
        <v>693</v>
      </c>
      <c r="C9" s="56" t="s">
        <v>694</v>
      </c>
      <c r="D9" s="102">
        <v>46310</v>
      </c>
      <c r="E9" s="53" t="str">
        <f t="shared" ca="1" si="0"/>
        <v>OK</v>
      </c>
      <c r="F9" s="103" t="s">
        <v>695</v>
      </c>
      <c r="G9" s="103" t="s">
        <v>685</v>
      </c>
      <c r="H9" s="103" t="s">
        <v>686</v>
      </c>
    </row>
    <row r="10" spans="1:8" ht="41.25" customHeight="1" x14ac:dyDescent="0.25">
      <c r="A10" s="175" t="s">
        <v>300</v>
      </c>
      <c r="B10" s="56"/>
      <c r="C10" s="56"/>
      <c r="D10" s="102"/>
      <c r="E10" s="53" t="str">
        <f t="shared" ca="1" si="0"/>
        <v>NOT CHECKED</v>
      </c>
      <c r="F10" s="103" t="s">
        <v>696</v>
      </c>
      <c r="G10" s="103" t="s">
        <v>685</v>
      </c>
      <c r="H10" s="103" t="s">
        <v>686</v>
      </c>
    </row>
    <row r="11" spans="1:8" ht="38.25" customHeight="1" x14ac:dyDescent="0.25">
      <c r="A11" s="176" t="s">
        <v>305</v>
      </c>
      <c r="B11" s="56"/>
      <c r="C11" s="56"/>
      <c r="D11" s="102"/>
      <c r="E11" s="53" t="str">
        <f t="shared" ca="1" si="0"/>
        <v>NOT CHECKED</v>
      </c>
      <c r="F11" s="103" t="s">
        <v>697</v>
      </c>
      <c r="G11" s="103" t="s">
        <v>685</v>
      </c>
      <c r="H11" s="103" t="s">
        <v>686</v>
      </c>
    </row>
    <row r="12" spans="1:8" ht="36.75" customHeight="1" x14ac:dyDescent="0.25">
      <c r="A12" s="177" t="s">
        <v>310</v>
      </c>
      <c r="B12" s="56"/>
      <c r="C12" s="56"/>
      <c r="D12" s="102"/>
      <c r="E12" s="53" t="str">
        <f t="shared" ca="1" si="0"/>
        <v>NOT CHECKED</v>
      </c>
      <c r="F12" s="103" t="s">
        <v>698</v>
      </c>
      <c r="G12" s="103" t="s">
        <v>685</v>
      </c>
      <c r="H12" s="103" t="s">
        <v>686</v>
      </c>
    </row>
    <row r="13" spans="1:8" ht="37.5" customHeight="1" x14ac:dyDescent="0.25">
      <c r="A13" s="178" t="s">
        <v>315</v>
      </c>
      <c r="B13" s="56"/>
      <c r="C13" s="56"/>
      <c r="D13" s="102"/>
      <c r="E13" s="53" t="str">
        <f t="shared" ca="1" si="0"/>
        <v>NOT CHECKED</v>
      </c>
      <c r="F13" s="103" t="s">
        <v>699</v>
      </c>
      <c r="G13" s="103" t="s">
        <v>685</v>
      </c>
      <c r="H13" s="103" t="s">
        <v>686</v>
      </c>
    </row>
    <row r="14" spans="1:8" ht="18" customHeight="1" x14ac:dyDescent="0.25">
      <c r="A14" s="75" t="s">
        <v>700</v>
      </c>
      <c r="B14" s="7"/>
      <c r="C14" s="7"/>
      <c r="D14" s="7"/>
      <c r="E14" s="7"/>
      <c r="F14" s="7"/>
      <c r="G14" s="7"/>
      <c r="H14" s="7"/>
    </row>
    <row r="15" spans="1:8" x14ac:dyDescent="0.25">
      <c r="A15" s="7"/>
      <c r="B15" s="7"/>
      <c r="C15" s="7"/>
      <c r="D15" s="7"/>
      <c r="E15" s="7"/>
      <c r="F15" s="7"/>
      <c r="G15" s="7"/>
      <c r="H15" s="7"/>
    </row>
    <row r="16" spans="1:8" ht="24" customHeight="1" thickBot="1" x14ac:dyDescent="0.3">
      <c r="A16" s="268" t="s">
        <v>701</v>
      </c>
      <c r="B16" s="269"/>
      <c r="C16" s="269"/>
      <c r="D16" s="269"/>
      <c r="E16" s="269"/>
      <c r="F16" s="269"/>
    </row>
    <row r="17" spans="1:8" ht="18.600000000000001" customHeight="1" x14ac:dyDescent="0.25">
      <c r="A17" s="8" t="s">
        <v>702</v>
      </c>
      <c r="B17" s="46" t="s">
        <v>703</v>
      </c>
      <c r="C17" s="46" t="s">
        <v>704</v>
      </c>
      <c r="D17" s="46" t="s">
        <v>680</v>
      </c>
      <c r="E17" s="46" t="s">
        <v>705</v>
      </c>
      <c r="F17" s="46" t="s">
        <v>646</v>
      </c>
      <c r="G17" s="104"/>
      <c r="H17" s="104"/>
    </row>
    <row r="18" spans="1:8" ht="39.950000000000003" customHeight="1" x14ac:dyDescent="0.25">
      <c r="A18" s="73" t="s">
        <v>706</v>
      </c>
      <c r="B18" s="105" t="s">
        <v>707</v>
      </c>
      <c r="C18" s="56" t="s">
        <v>708</v>
      </c>
      <c r="D18" s="54">
        <v>46286</v>
      </c>
      <c r="E18" s="106" t="s">
        <v>709</v>
      </c>
      <c r="F18" s="103" t="s">
        <v>710</v>
      </c>
      <c r="G18" s="7"/>
      <c r="H18" s="7"/>
    </row>
    <row r="19" spans="1:8" ht="39.950000000000003" customHeight="1" x14ac:dyDescent="0.25">
      <c r="A19" s="73" t="s">
        <v>711</v>
      </c>
      <c r="B19" s="105" t="s">
        <v>712</v>
      </c>
      <c r="C19" s="56" t="s">
        <v>713</v>
      </c>
      <c r="D19" s="54">
        <v>46310</v>
      </c>
      <c r="E19" s="106" t="s">
        <v>709</v>
      </c>
      <c r="F19" s="103" t="s">
        <v>714</v>
      </c>
      <c r="G19" s="7"/>
      <c r="H19" s="7"/>
    </row>
    <row r="20" spans="1:8" ht="39.950000000000003" customHeight="1" x14ac:dyDescent="0.25">
      <c r="A20" s="73" t="s">
        <v>715</v>
      </c>
      <c r="B20" s="105" t="s">
        <v>716</v>
      </c>
      <c r="C20" s="56" t="s">
        <v>717</v>
      </c>
      <c r="D20" s="54">
        <v>46286</v>
      </c>
      <c r="E20" s="106" t="s">
        <v>718</v>
      </c>
      <c r="F20" s="103" t="s">
        <v>719</v>
      </c>
      <c r="G20" s="7"/>
      <c r="H20" s="7"/>
    </row>
    <row r="21" spans="1:8" ht="39.950000000000003" customHeight="1" x14ac:dyDescent="0.25">
      <c r="A21" s="73" t="s">
        <v>720</v>
      </c>
      <c r="B21" s="105" t="s">
        <v>721</v>
      </c>
      <c r="C21" s="56" t="s">
        <v>722</v>
      </c>
      <c r="D21" s="54">
        <v>46310</v>
      </c>
      <c r="E21" s="106" t="s">
        <v>709</v>
      </c>
      <c r="F21" s="103" t="s">
        <v>723</v>
      </c>
      <c r="G21" s="7"/>
      <c r="H21" s="7"/>
    </row>
    <row r="22" spans="1:8" ht="39.950000000000003" customHeight="1" x14ac:dyDescent="0.25">
      <c r="A22" s="73" t="s">
        <v>724</v>
      </c>
      <c r="B22" s="105" t="s">
        <v>725</v>
      </c>
      <c r="C22" s="56" t="s">
        <v>726</v>
      </c>
      <c r="D22" s="54">
        <v>46310</v>
      </c>
      <c r="E22" s="106" t="s">
        <v>727</v>
      </c>
      <c r="F22" s="103" t="s">
        <v>728</v>
      </c>
      <c r="G22" s="7"/>
      <c r="H22" s="7"/>
    </row>
    <row r="23" spans="1:8" x14ac:dyDescent="0.25">
      <c r="A23" s="7"/>
      <c r="B23" s="7"/>
      <c r="C23" s="7"/>
      <c r="D23" s="7"/>
      <c r="E23" s="7"/>
      <c r="F23" s="7"/>
      <c r="G23" s="7"/>
      <c r="H23" s="7"/>
    </row>
    <row r="24" spans="1:8" ht="24" customHeight="1" thickBot="1" x14ac:dyDescent="0.3">
      <c r="A24" s="268" t="s">
        <v>729</v>
      </c>
      <c r="B24" s="269"/>
      <c r="C24" s="269"/>
      <c r="D24" s="269"/>
    </row>
    <row r="25" spans="1:8" ht="18.600000000000001" customHeight="1" x14ac:dyDescent="0.25">
      <c r="A25" s="8" t="s">
        <v>730</v>
      </c>
      <c r="B25" s="46" t="s">
        <v>731</v>
      </c>
      <c r="C25" s="46" t="s">
        <v>732</v>
      </c>
      <c r="D25" s="46" t="s">
        <v>733</v>
      </c>
      <c r="E25" s="104"/>
      <c r="F25" s="104"/>
      <c r="G25" s="104"/>
      <c r="H25" s="104"/>
    </row>
    <row r="26" spans="1:8" ht="33.75" customHeight="1" x14ac:dyDescent="0.25">
      <c r="A26" s="73" t="s">
        <v>734</v>
      </c>
      <c r="B26" s="105" t="s">
        <v>735</v>
      </c>
      <c r="C26" s="21" t="s">
        <v>412</v>
      </c>
      <c r="D26" s="103" t="s">
        <v>736</v>
      </c>
      <c r="E26" s="107"/>
      <c r="F26" s="108"/>
      <c r="G26" s="107"/>
      <c r="H26" s="107"/>
    </row>
    <row r="27" spans="1:8" ht="36" customHeight="1" x14ac:dyDescent="0.25">
      <c r="A27" s="73" t="s">
        <v>737</v>
      </c>
      <c r="B27" s="105" t="s">
        <v>738</v>
      </c>
      <c r="C27" s="21" t="s">
        <v>55</v>
      </c>
      <c r="D27" s="103" t="s">
        <v>736</v>
      </c>
      <c r="E27" s="107"/>
      <c r="F27" s="108"/>
      <c r="G27" s="107"/>
      <c r="H27" s="107"/>
    </row>
    <row r="28" spans="1:8" ht="34.5" customHeight="1" x14ac:dyDescent="0.25">
      <c r="A28" s="73" t="s">
        <v>739</v>
      </c>
      <c r="B28" s="105" t="s">
        <v>740</v>
      </c>
      <c r="C28" s="21" t="s">
        <v>741</v>
      </c>
      <c r="D28" s="103" t="s">
        <v>742</v>
      </c>
      <c r="E28" s="107"/>
      <c r="F28" s="108"/>
      <c r="G28" s="107"/>
      <c r="H28" s="107"/>
    </row>
    <row r="29" spans="1:8" ht="32.25" customHeight="1" x14ac:dyDescent="0.25">
      <c r="A29" s="73" t="s">
        <v>743</v>
      </c>
      <c r="B29" s="105" t="s">
        <v>744</v>
      </c>
      <c r="C29" s="21" t="s">
        <v>741</v>
      </c>
      <c r="D29" s="103" t="s">
        <v>736</v>
      </c>
      <c r="E29" s="107"/>
      <c r="F29" s="108"/>
      <c r="G29" s="107"/>
      <c r="H29" s="107"/>
    </row>
    <row r="30" spans="1:8" ht="36" customHeight="1" x14ac:dyDescent="0.25">
      <c r="A30" s="73" t="s">
        <v>745</v>
      </c>
      <c r="B30" s="105" t="s">
        <v>746</v>
      </c>
      <c r="C30" s="21" t="s">
        <v>55</v>
      </c>
      <c r="D30" s="103" t="s">
        <v>747</v>
      </c>
      <c r="E30" s="107"/>
      <c r="F30" s="108"/>
      <c r="G30" s="107"/>
      <c r="H30" s="107"/>
    </row>
    <row r="31" spans="1:8" ht="27" customHeight="1" x14ac:dyDescent="0.25">
      <c r="A31" s="73" t="s">
        <v>748</v>
      </c>
      <c r="B31" s="105" t="s">
        <v>749</v>
      </c>
      <c r="C31" s="21" t="s">
        <v>412</v>
      </c>
      <c r="D31" s="103" t="s">
        <v>750</v>
      </c>
      <c r="E31" s="107"/>
      <c r="F31" s="108"/>
      <c r="G31" s="107"/>
      <c r="H31" s="107"/>
    </row>
    <row r="32" spans="1:8" x14ac:dyDescent="0.25">
      <c r="A32" s="7"/>
      <c r="B32" s="7"/>
      <c r="C32" s="7"/>
      <c r="D32" s="7"/>
      <c r="E32" s="7"/>
      <c r="F32" s="7"/>
      <c r="G32" s="7"/>
      <c r="H32" s="7"/>
    </row>
    <row r="33" spans="1:8" ht="18.600000000000001" customHeight="1" x14ac:dyDescent="0.25">
      <c r="A33" s="59" t="s">
        <v>751</v>
      </c>
      <c r="B33" s="109" t="str">
        <f>COUNTIF(C26:C31,"RISK-ON")&amp;" risk-on · "&amp;COUNTIF(C26:C31,"RISK-OFF")&amp;" risk-off · "&amp;COUNTIF(C26:C31,"NEUTRAL")&amp;" neutral"</f>
        <v>2 risk-on · 2 risk-off · 2 neutral</v>
      </c>
      <c r="C33" s="53" t="str">
        <f>IF(COUNTA(C26:C31)&lt;6,"ENTER READS",IF(COUNTIF(C26:C31,"RISK-ON")-COUNTIF(C26:C31,"RISK-OFF")&gt;=2,"RISK-ON",IF(COUNTIF(C26:C31,"RISK-OFF")-COUNTIF(C26:C31,"RISK-ON")&gt;=2,"RISK-OFF","MIXED")))</f>
        <v>MIXED</v>
      </c>
      <c r="D33" s="7"/>
      <c r="E33" s="7"/>
      <c r="F33" s="7"/>
      <c r="G33" s="7"/>
      <c r="H33" s="7"/>
    </row>
    <row r="34" spans="1:8" ht="18.600000000000001" customHeight="1" x14ac:dyDescent="0.25">
      <c r="A34" s="59" t="s">
        <v>752</v>
      </c>
      <c r="B34" s="110"/>
      <c r="C34" s="49" t="str">
        <f>'Risk &amp; Gold'!B8</f>
        <v>RISK-ON</v>
      </c>
      <c r="D34" s="7"/>
      <c r="E34" s="7"/>
      <c r="F34" s="7"/>
      <c r="G34" s="7"/>
      <c r="H34" s="7"/>
    </row>
    <row r="35" spans="1:8" ht="18.600000000000001" customHeight="1" x14ac:dyDescent="0.25">
      <c r="A35" s="59" t="s">
        <v>753</v>
      </c>
      <c r="B35" s="110"/>
      <c r="C35" s="53" t="str">
        <f>IF(OR(C33="MIXED",C34="CAUTION"),"PARTLY — size down",IF(C33=C34,"YES","NO — trust neither, size down"))</f>
        <v>PARTLY — size down</v>
      </c>
      <c r="D35" s="7"/>
      <c r="E35" s="7"/>
      <c r="F35" s="7"/>
      <c r="G35" s="7"/>
      <c r="H35" s="7"/>
    </row>
    <row r="36" spans="1:8" x14ac:dyDescent="0.25">
      <c r="A36" s="7"/>
      <c r="B36" s="7"/>
      <c r="C36" s="7"/>
      <c r="D36" s="7"/>
      <c r="E36" s="7"/>
      <c r="F36" s="7"/>
      <c r="G36" s="7"/>
      <c r="H36" s="7"/>
    </row>
    <row r="37" spans="1:8" ht="26.1" customHeight="1" thickBot="1" x14ac:dyDescent="0.3">
      <c r="A37" s="318" t="s">
        <v>754</v>
      </c>
      <c r="B37" s="269"/>
      <c r="C37" s="269"/>
      <c r="D37" s="269"/>
      <c r="E37" s="269"/>
      <c r="F37" s="269"/>
      <c r="G37" s="269"/>
      <c r="H37" s="269"/>
    </row>
    <row r="38" spans="1:8" ht="24" customHeight="1" x14ac:dyDescent="0.25">
      <c r="A38" s="316" t="s">
        <v>755</v>
      </c>
      <c r="B38" s="273"/>
      <c r="C38" s="273"/>
      <c r="D38" s="273"/>
      <c r="E38" s="273"/>
      <c r="F38" s="273"/>
      <c r="G38" s="273"/>
      <c r="H38" s="273"/>
    </row>
    <row r="39" spans="1:8" x14ac:dyDescent="0.25">
      <c r="A39" s="227"/>
      <c r="B39" s="227"/>
      <c r="C39" s="227"/>
      <c r="D39" s="227"/>
      <c r="E39" s="227"/>
      <c r="F39" s="227"/>
      <c r="G39" s="227"/>
      <c r="H39" s="227"/>
    </row>
    <row r="40" spans="1:8" ht="15.75" customHeight="1" thickBot="1" x14ac:dyDescent="0.3">
      <c r="A40" s="228"/>
      <c r="B40" s="227"/>
      <c r="C40" s="227"/>
      <c r="D40" s="227"/>
      <c r="E40" s="227"/>
      <c r="F40" s="227"/>
      <c r="G40" s="227"/>
      <c r="H40" s="227"/>
    </row>
    <row r="41" spans="1:8" x14ac:dyDescent="0.25">
      <c r="A41" s="229"/>
      <c r="B41" s="227"/>
      <c r="C41" s="227"/>
      <c r="D41" s="227"/>
      <c r="E41" s="227"/>
      <c r="F41" s="227"/>
      <c r="G41" s="227"/>
      <c r="H41" s="227"/>
    </row>
    <row r="42" spans="1:8" x14ac:dyDescent="0.25">
      <c r="A42" s="227"/>
      <c r="B42" s="227"/>
      <c r="C42" s="227"/>
      <c r="D42" s="227"/>
      <c r="E42" s="227"/>
      <c r="F42" s="227"/>
      <c r="G42" s="227"/>
      <c r="H42" s="227"/>
    </row>
    <row r="43" spans="1:8" ht="15.75" customHeight="1" thickBot="1" x14ac:dyDescent="0.3">
      <c r="A43" s="228"/>
      <c r="B43" s="227"/>
      <c r="C43" s="227"/>
      <c r="D43" s="227"/>
      <c r="E43" s="227"/>
      <c r="F43" s="227"/>
      <c r="G43" s="227"/>
      <c r="H43" s="227"/>
    </row>
    <row r="44" spans="1:8" x14ac:dyDescent="0.25">
      <c r="A44" s="229"/>
      <c r="B44" s="227"/>
      <c r="C44" s="227"/>
      <c r="D44" s="227"/>
      <c r="E44" s="227"/>
      <c r="F44" s="227"/>
      <c r="G44" s="227"/>
      <c r="H44" s="227"/>
    </row>
    <row r="45" spans="1:8" x14ac:dyDescent="0.25">
      <c r="A45" s="227"/>
      <c r="B45" s="227"/>
      <c r="C45" s="227"/>
      <c r="D45" s="227"/>
      <c r="E45" s="227"/>
      <c r="F45" s="227"/>
      <c r="G45" s="227"/>
      <c r="H45" s="227"/>
    </row>
    <row r="46" spans="1:8" ht="15.75" customHeight="1" thickBot="1" x14ac:dyDescent="0.3">
      <c r="A46" s="228"/>
      <c r="B46" s="227"/>
      <c r="C46" s="227"/>
      <c r="D46" s="227"/>
      <c r="E46" s="227"/>
      <c r="F46" s="227"/>
      <c r="G46" s="227"/>
      <c r="H46" s="227"/>
    </row>
    <row r="47" spans="1:8" x14ac:dyDescent="0.25">
      <c r="A47" s="229"/>
      <c r="B47" s="227"/>
      <c r="C47" s="227"/>
      <c r="D47" s="227"/>
      <c r="E47" s="227"/>
      <c r="F47" s="227"/>
      <c r="G47" s="227"/>
      <c r="H47" s="227"/>
    </row>
    <row r="48" spans="1:8" x14ac:dyDescent="0.25">
      <c r="A48" s="227"/>
      <c r="B48" s="227"/>
      <c r="C48" s="227"/>
      <c r="D48" s="227"/>
      <c r="E48" s="227"/>
      <c r="F48" s="227"/>
      <c r="G48" s="227"/>
      <c r="H48" s="227"/>
    </row>
    <row r="49" spans="1:8" x14ac:dyDescent="0.25">
      <c r="A49" s="227"/>
      <c r="B49" s="227"/>
      <c r="C49" s="227"/>
      <c r="D49" s="227"/>
      <c r="E49" s="227"/>
      <c r="F49" s="227"/>
      <c r="G49" s="227"/>
      <c r="H49" s="227"/>
    </row>
    <row r="50" spans="1:8" x14ac:dyDescent="0.25">
      <c r="A50" s="227"/>
      <c r="B50" s="227"/>
      <c r="C50" s="227"/>
      <c r="D50" s="227"/>
      <c r="E50" s="227"/>
      <c r="F50" s="227"/>
      <c r="G50" s="227"/>
      <c r="H50" s="227"/>
    </row>
    <row r="51" spans="1:8" x14ac:dyDescent="0.25">
      <c r="A51" s="227"/>
      <c r="B51" s="227"/>
      <c r="C51" s="227"/>
      <c r="D51" s="227"/>
      <c r="E51" s="227"/>
      <c r="F51" s="227"/>
      <c r="G51" s="227"/>
      <c r="H51" s="227"/>
    </row>
    <row r="52" spans="1:8" x14ac:dyDescent="0.25">
      <c r="A52" s="227"/>
      <c r="B52" s="227"/>
      <c r="C52" s="227"/>
      <c r="D52" s="227"/>
      <c r="E52" s="227"/>
      <c r="F52" s="227"/>
      <c r="G52" s="227"/>
      <c r="H52" s="227"/>
    </row>
    <row r="53" spans="1:8" x14ac:dyDescent="0.25">
      <c r="A53" s="227"/>
      <c r="B53" s="227"/>
      <c r="C53" s="227"/>
      <c r="D53" s="227"/>
      <c r="E53" s="227"/>
      <c r="F53" s="227"/>
      <c r="G53" s="227"/>
      <c r="H53" s="227"/>
    </row>
    <row r="54" spans="1:8" x14ac:dyDescent="0.25">
      <c r="A54" s="227"/>
      <c r="B54" s="227"/>
      <c r="C54" s="227"/>
      <c r="D54" s="227"/>
      <c r="E54" s="227"/>
      <c r="F54" s="227"/>
      <c r="G54" s="227"/>
      <c r="H54" s="227"/>
    </row>
    <row r="55" spans="1:8" x14ac:dyDescent="0.25">
      <c r="A55" s="227"/>
      <c r="B55" s="227"/>
      <c r="C55" s="227"/>
      <c r="D55" s="227"/>
      <c r="E55" s="227"/>
      <c r="F55" s="227"/>
      <c r="G55" s="227"/>
      <c r="H55" s="227"/>
    </row>
    <row r="56" spans="1:8" x14ac:dyDescent="0.25">
      <c r="A56" s="227"/>
      <c r="B56" s="227"/>
      <c r="C56" s="227"/>
      <c r="D56" s="227"/>
      <c r="E56" s="227"/>
      <c r="F56" s="227"/>
      <c r="G56" s="227"/>
      <c r="H56" s="227"/>
    </row>
    <row r="57" spans="1:8" x14ac:dyDescent="0.25">
      <c r="A57" s="227"/>
      <c r="B57" s="227"/>
      <c r="C57" s="227"/>
      <c r="D57" s="227"/>
      <c r="E57" s="227"/>
      <c r="F57" s="227"/>
      <c r="G57" s="227"/>
      <c r="H57" s="227"/>
    </row>
    <row r="58" spans="1:8" x14ac:dyDescent="0.25">
      <c r="A58" s="227"/>
      <c r="B58" s="227"/>
      <c r="C58" s="227"/>
      <c r="D58" s="227"/>
      <c r="E58" s="227"/>
      <c r="F58" s="227"/>
      <c r="G58" s="227"/>
      <c r="H58" s="227"/>
    </row>
    <row r="59" spans="1:8" x14ac:dyDescent="0.25">
      <c r="A59" s="227"/>
      <c r="B59" s="227"/>
      <c r="C59" s="227"/>
      <c r="D59" s="227"/>
      <c r="E59" s="227"/>
      <c r="F59" s="227"/>
      <c r="G59" s="227"/>
      <c r="H59" s="227"/>
    </row>
  </sheetData>
  <mergeCells count="7">
    <mergeCell ref="A16:F16"/>
    <mergeCell ref="A4:H4"/>
    <mergeCell ref="A38:H38"/>
    <mergeCell ref="A1:F1"/>
    <mergeCell ref="A2:G2"/>
    <mergeCell ref="A24:D24"/>
    <mergeCell ref="A37:H37"/>
  </mergeCells>
  <conditionalFormatting sqref="C26:C31">
    <cfRule type="expression" dxfId="21" priority="5">
      <formula>ISNUMBER(SEARCH("RISK-ON",C26))</formula>
    </cfRule>
    <cfRule type="expression" dxfId="20" priority="6">
      <formula>ISNUMBER(SEARCH("RISK-OFF",C26))</formula>
    </cfRule>
    <cfRule type="expression" dxfId="19" priority="7">
      <formula>ISNUMBER(SEARCH("NEUTRAL",C26))</formula>
    </cfRule>
  </conditionalFormatting>
  <conditionalFormatting sqref="C33:C34">
    <cfRule type="expression" dxfId="18" priority="8">
      <formula>ISNUMBER(SEARCH("RISK-ON",C33))</formula>
    </cfRule>
    <cfRule type="expression" dxfId="17" priority="9">
      <formula>ISNUMBER(SEARCH("RISK-OFF",C33))</formula>
    </cfRule>
    <cfRule type="expression" dxfId="16" priority="10">
      <formula>ISNUMBER(SEARCH("MIXED",C33))</formula>
    </cfRule>
    <cfRule type="expression" dxfId="15" priority="11">
      <formula>ISNUMBER(SEARCH("CAUTION",C33))</formula>
    </cfRule>
  </conditionalFormatting>
  <conditionalFormatting sqref="C35">
    <cfRule type="expression" dxfId="14" priority="16">
      <formula>ISNUMBER(SEARCH("YES",C35))</formula>
    </cfRule>
    <cfRule type="expression" dxfId="13" priority="17">
      <formula>ISNUMBER(SEARCH("NO",C35))</formula>
    </cfRule>
    <cfRule type="expression" dxfId="12" priority="18">
      <formula>ISNUMBER(SEARCH("PARTLY",C35))</formula>
    </cfRule>
  </conditionalFormatting>
  <conditionalFormatting sqref="E6:E13">
    <cfRule type="expression" dxfId="11" priority="2">
      <formula>ISNUMBER(SEARCH("STALE",E6))</formula>
    </cfRule>
    <cfRule type="expression" dxfId="10" priority="3">
      <formula>ISNUMBER(SEARCH("NOT CHECKED",E6))</formula>
    </cfRule>
    <cfRule type="expression" dxfId="9" priority="4">
      <formula>ISNUMBER(SEARCH("OK",E6))</formula>
    </cfRule>
  </conditionalFormatting>
  <dataValidations count="1">
    <dataValidation type="list" sqref="C26:C31" xr:uid="{00000000-0002-0000-0A00-000000000000}">
      <formula1>"RISK-ON,NEUTRAL,RISK-OFF"</formula1>
      <formula2>0</formula2>
    </dataValidation>
  </dataValidations>
  <hyperlinks>
    <hyperlink ref="H1" location="'Guide'!A1" display="← Guide" xr:uid="{00000000-0004-0000-0A00-000000000000}"/>
    <hyperlink ref="F6" r:id="rId1" xr:uid="{00000000-0004-0000-0A00-000001000000}"/>
    <hyperlink ref="G6" r:id="rId2" xr:uid="{00000000-0004-0000-0A00-000002000000}"/>
    <hyperlink ref="H6" r:id="rId3" xr:uid="{00000000-0004-0000-0A00-000003000000}"/>
    <hyperlink ref="F7" r:id="rId4" xr:uid="{00000000-0004-0000-0A00-000004000000}"/>
    <hyperlink ref="G7" r:id="rId5" xr:uid="{00000000-0004-0000-0A00-000005000000}"/>
    <hyperlink ref="H7" r:id="rId6" xr:uid="{00000000-0004-0000-0A00-000006000000}"/>
    <hyperlink ref="F8" r:id="rId7" xr:uid="{00000000-0004-0000-0A00-000007000000}"/>
    <hyperlink ref="G8" r:id="rId8" xr:uid="{00000000-0004-0000-0A00-000008000000}"/>
    <hyperlink ref="H8" r:id="rId9" xr:uid="{00000000-0004-0000-0A00-000009000000}"/>
    <hyperlink ref="F9" r:id="rId10" xr:uid="{00000000-0004-0000-0A00-00000A000000}"/>
    <hyperlink ref="G9" r:id="rId11" xr:uid="{00000000-0004-0000-0A00-00000B000000}"/>
    <hyperlink ref="H9" r:id="rId12" xr:uid="{00000000-0004-0000-0A00-00000C000000}"/>
    <hyperlink ref="F10" r:id="rId13" xr:uid="{00000000-0004-0000-0A00-00000D000000}"/>
    <hyperlink ref="G10" r:id="rId14" xr:uid="{00000000-0004-0000-0A00-00000E000000}"/>
    <hyperlink ref="H10" r:id="rId15" xr:uid="{00000000-0004-0000-0A00-00000F000000}"/>
    <hyperlink ref="F11" r:id="rId16" xr:uid="{00000000-0004-0000-0A00-000010000000}"/>
    <hyperlink ref="G11" r:id="rId17" xr:uid="{00000000-0004-0000-0A00-000011000000}"/>
    <hyperlink ref="H11" r:id="rId18" xr:uid="{00000000-0004-0000-0A00-000012000000}"/>
    <hyperlink ref="F12" r:id="rId19" xr:uid="{00000000-0004-0000-0A00-000013000000}"/>
    <hyperlink ref="G12" r:id="rId20" xr:uid="{00000000-0004-0000-0A00-000014000000}"/>
    <hyperlink ref="H12" r:id="rId21" xr:uid="{00000000-0004-0000-0A00-000015000000}"/>
    <hyperlink ref="F13" r:id="rId22" xr:uid="{00000000-0004-0000-0A00-000016000000}"/>
    <hyperlink ref="G13" r:id="rId23" xr:uid="{00000000-0004-0000-0A00-000017000000}"/>
    <hyperlink ref="H13" r:id="rId24" xr:uid="{00000000-0004-0000-0A00-000018000000}"/>
    <hyperlink ref="F18" r:id="rId25" xr:uid="{00000000-0004-0000-0A00-000019000000}"/>
    <hyperlink ref="F19" r:id="rId26" xr:uid="{00000000-0004-0000-0A00-00001A000000}"/>
    <hyperlink ref="F20" r:id="rId27" xr:uid="{00000000-0004-0000-0A00-00001B000000}"/>
    <hyperlink ref="F21" r:id="rId28" xr:uid="{00000000-0004-0000-0A00-00001C000000}"/>
    <hyperlink ref="F22" r:id="rId29" xr:uid="{00000000-0004-0000-0A00-00001D000000}"/>
    <hyperlink ref="D26" r:id="rId30" xr:uid="{00000000-0004-0000-0A00-00001E000000}"/>
    <hyperlink ref="D27" r:id="rId31" xr:uid="{00000000-0004-0000-0A00-00001F000000}"/>
    <hyperlink ref="D28" r:id="rId32" xr:uid="{00000000-0004-0000-0A00-000020000000}"/>
    <hyperlink ref="D29" r:id="rId33" xr:uid="{00000000-0004-0000-0A00-000021000000}"/>
    <hyperlink ref="D30" r:id="rId34" xr:uid="{00000000-0004-0000-0A00-000022000000}"/>
    <hyperlink ref="D31" r:id="rId35" xr:uid="{00000000-0004-0000-0A00-000023000000}"/>
    <hyperlink ref="A38" location="'Prompts'!A1" display="All update prompts now live on the Prompts sheet ↗  —  P4 Country deep-dive, P2 Markets, P3 Scorecard stats, P5 Key levels, P6 Who holds what, P1 Events, P7 AI bias, P0 Full cycle." xr:uid="{00000000-0004-0000-0A00-000024000000}"/>
  </hyperlinks>
  <pageMargins left="0.75" right="0.75" top="1" bottom="1"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A1:G38"/>
  <sheetViews>
    <sheetView showGridLines="0" workbookViewId="0">
      <pane ySplit="4" topLeftCell="A5" activePane="bottomLeft" state="frozen"/>
      <selection pane="bottomLeft" activeCell="D21" sqref="D21"/>
    </sheetView>
  </sheetViews>
  <sheetFormatPr defaultRowHeight="15" x14ac:dyDescent="0.25"/>
  <cols>
    <col min="1" max="1" width="13" customWidth="1"/>
    <col min="2" max="2" width="14" customWidth="1"/>
    <col min="3" max="3" width="26" customWidth="1"/>
    <col min="4" max="4" width="20" customWidth="1"/>
    <col min="5" max="5" width="40" customWidth="1"/>
    <col min="6" max="6" width="62" customWidth="1"/>
    <col min="7" max="7" width="16" customWidth="1"/>
  </cols>
  <sheetData>
    <row r="1" spans="1:7" ht="33.950000000000003" customHeight="1" x14ac:dyDescent="0.25">
      <c r="A1" s="312" t="s">
        <v>756</v>
      </c>
      <c r="B1" s="273"/>
      <c r="C1" s="273"/>
      <c r="D1" s="273"/>
      <c r="E1" s="273"/>
      <c r="F1" s="273"/>
      <c r="G1" s="126" t="s">
        <v>1</v>
      </c>
    </row>
    <row r="2" spans="1:7" ht="20.100000000000001" customHeight="1" x14ac:dyDescent="0.25">
      <c r="A2" s="319" t="s">
        <v>757</v>
      </c>
      <c r="B2" s="273"/>
      <c r="C2" s="273"/>
      <c r="D2" s="273"/>
      <c r="E2" s="273"/>
    </row>
    <row r="3" spans="1:7" ht="8.1" customHeight="1" x14ac:dyDescent="0.25"/>
    <row r="4" spans="1:7" ht="26.1" customHeight="1" x14ac:dyDescent="0.25">
      <c r="A4" s="128" t="s">
        <v>758</v>
      </c>
      <c r="B4" s="128" t="s">
        <v>759</v>
      </c>
      <c r="C4" s="128" t="s">
        <v>760</v>
      </c>
      <c r="D4" s="128" t="s">
        <v>761</v>
      </c>
      <c r="E4" s="128" t="s">
        <v>762</v>
      </c>
      <c r="F4" s="128" t="s">
        <v>763</v>
      </c>
      <c r="G4" s="128" t="s">
        <v>764</v>
      </c>
    </row>
    <row r="5" spans="1:7" ht="36" customHeight="1" x14ac:dyDescent="0.25">
      <c r="A5" s="136" t="s">
        <v>765</v>
      </c>
      <c r="B5" s="137" t="s">
        <v>766</v>
      </c>
      <c r="C5" s="114" t="s">
        <v>377</v>
      </c>
      <c r="D5" s="137" t="s">
        <v>248</v>
      </c>
      <c r="E5" s="138" t="s">
        <v>767</v>
      </c>
      <c r="F5" s="138" t="s">
        <v>768</v>
      </c>
      <c r="G5" s="137" t="s">
        <v>769</v>
      </c>
    </row>
    <row r="6" spans="1:7" x14ac:dyDescent="0.25">
      <c r="A6" s="136" t="s">
        <v>765</v>
      </c>
      <c r="B6" s="137" t="s">
        <v>770</v>
      </c>
      <c r="C6" s="114" t="s">
        <v>384</v>
      </c>
      <c r="D6" s="137" t="s">
        <v>771</v>
      </c>
      <c r="E6" s="138" t="s">
        <v>772</v>
      </c>
      <c r="F6" s="138" t="s">
        <v>773</v>
      </c>
      <c r="G6" s="137" t="s">
        <v>774</v>
      </c>
    </row>
    <row r="7" spans="1:7" ht="48" customHeight="1" x14ac:dyDescent="0.25">
      <c r="A7" s="136" t="s">
        <v>765</v>
      </c>
      <c r="B7" s="137" t="s">
        <v>775</v>
      </c>
      <c r="C7" s="114" t="s">
        <v>776</v>
      </c>
      <c r="D7" s="137" t="s">
        <v>248</v>
      </c>
      <c r="E7" s="138" t="s">
        <v>777</v>
      </c>
      <c r="F7" s="138" t="s">
        <v>778</v>
      </c>
      <c r="G7" s="137" t="s">
        <v>779</v>
      </c>
    </row>
    <row r="8" spans="1:7" x14ac:dyDescent="0.25">
      <c r="A8" s="136" t="s">
        <v>765</v>
      </c>
      <c r="B8" s="137" t="s">
        <v>780</v>
      </c>
      <c r="C8" s="114" t="s">
        <v>585</v>
      </c>
      <c r="D8" s="137" t="s">
        <v>248</v>
      </c>
      <c r="E8" s="138" t="s">
        <v>781</v>
      </c>
      <c r="F8" s="138" t="s">
        <v>782</v>
      </c>
      <c r="G8" s="137" t="s">
        <v>783</v>
      </c>
    </row>
    <row r="9" spans="1:7" ht="25.5" customHeight="1" x14ac:dyDescent="0.25">
      <c r="A9" s="136" t="s">
        <v>765</v>
      </c>
      <c r="B9" s="137" t="s">
        <v>784</v>
      </c>
      <c r="C9" s="114" t="s">
        <v>785</v>
      </c>
      <c r="D9" s="137" t="s">
        <v>248</v>
      </c>
      <c r="E9" s="138" t="s">
        <v>786</v>
      </c>
      <c r="F9" s="138" t="s">
        <v>787</v>
      </c>
      <c r="G9" s="137" t="s">
        <v>779</v>
      </c>
    </row>
    <row r="10" spans="1:7" ht="25.5" customHeight="1" x14ac:dyDescent="0.25">
      <c r="A10" s="136" t="s">
        <v>765</v>
      </c>
      <c r="B10" s="137" t="s">
        <v>788</v>
      </c>
      <c r="C10" s="114" t="s">
        <v>394</v>
      </c>
      <c r="D10" s="137" t="s">
        <v>248</v>
      </c>
      <c r="E10" s="138" t="s">
        <v>789</v>
      </c>
      <c r="F10" s="138" t="s">
        <v>790</v>
      </c>
      <c r="G10" s="137" t="s">
        <v>791</v>
      </c>
    </row>
    <row r="11" spans="1:7" ht="36" customHeight="1" x14ac:dyDescent="0.25">
      <c r="A11" s="136" t="s">
        <v>765</v>
      </c>
      <c r="B11" s="137" t="s">
        <v>792</v>
      </c>
      <c r="C11" s="114" t="s">
        <v>793</v>
      </c>
      <c r="D11" s="137" t="s">
        <v>248</v>
      </c>
      <c r="E11" s="138" t="s">
        <v>794</v>
      </c>
      <c r="F11" s="138" t="s">
        <v>795</v>
      </c>
      <c r="G11" s="137" t="s">
        <v>796</v>
      </c>
    </row>
    <row r="12" spans="1:7" ht="25.5" customHeight="1" x14ac:dyDescent="0.25">
      <c r="A12" s="136" t="s">
        <v>765</v>
      </c>
      <c r="B12" s="137" t="s">
        <v>797</v>
      </c>
      <c r="C12" s="114" t="s">
        <v>594</v>
      </c>
      <c r="D12" s="137" t="s">
        <v>248</v>
      </c>
      <c r="E12" s="138" t="s">
        <v>798</v>
      </c>
      <c r="F12" s="138" t="s">
        <v>799</v>
      </c>
      <c r="G12" s="137" t="s">
        <v>796</v>
      </c>
    </row>
    <row r="13" spans="1:7" x14ac:dyDescent="0.25">
      <c r="A13" s="136" t="s">
        <v>800</v>
      </c>
      <c r="B13" s="137" t="s">
        <v>801</v>
      </c>
      <c r="C13" s="114" t="s">
        <v>610</v>
      </c>
      <c r="D13" s="137" t="s">
        <v>248</v>
      </c>
      <c r="E13" s="138" t="s">
        <v>794</v>
      </c>
      <c r="F13" s="138" t="s">
        <v>802</v>
      </c>
      <c r="G13" s="137" t="s">
        <v>796</v>
      </c>
    </row>
    <row r="14" spans="1:7" ht="25.5" customHeight="1" x14ac:dyDescent="0.25">
      <c r="A14" s="136" t="s">
        <v>800</v>
      </c>
      <c r="B14" s="137" t="s">
        <v>803</v>
      </c>
      <c r="C14" s="114" t="s">
        <v>804</v>
      </c>
      <c r="D14" s="137" t="s">
        <v>248</v>
      </c>
      <c r="E14" s="138" t="s">
        <v>794</v>
      </c>
      <c r="F14" s="138" t="s">
        <v>805</v>
      </c>
      <c r="G14" s="137" t="s">
        <v>796</v>
      </c>
    </row>
    <row r="15" spans="1:7" ht="25.5" customHeight="1" x14ac:dyDescent="0.25">
      <c r="A15" s="136" t="s">
        <v>800</v>
      </c>
      <c r="B15" s="137" t="s">
        <v>806</v>
      </c>
      <c r="C15" s="114" t="s">
        <v>807</v>
      </c>
      <c r="D15" s="137" t="s">
        <v>248</v>
      </c>
      <c r="E15" s="138" t="s">
        <v>808</v>
      </c>
      <c r="F15" s="138" t="s">
        <v>809</v>
      </c>
      <c r="G15" s="137" t="s">
        <v>796</v>
      </c>
    </row>
    <row r="16" spans="1:7" x14ac:dyDescent="0.25">
      <c r="A16" s="136" t="s">
        <v>800</v>
      </c>
      <c r="B16" s="137" t="s">
        <v>810</v>
      </c>
      <c r="C16" s="114" t="s">
        <v>811</v>
      </c>
      <c r="D16" s="137" t="s">
        <v>248</v>
      </c>
      <c r="E16" s="138" t="s">
        <v>794</v>
      </c>
      <c r="F16" s="138" t="s">
        <v>812</v>
      </c>
      <c r="G16" s="137" t="s">
        <v>796</v>
      </c>
    </row>
    <row r="17" spans="1:7" ht="25.5" customHeight="1" x14ac:dyDescent="0.25">
      <c r="A17" s="136" t="s">
        <v>800</v>
      </c>
      <c r="B17" s="137" t="s">
        <v>813</v>
      </c>
      <c r="C17" s="114" t="s">
        <v>814</v>
      </c>
      <c r="D17" s="137" t="s">
        <v>815</v>
      </c>
      <c r="E17" s="138" t="s">
        <v>816</v>
      </c>
      <c r="F17" s="138" t="s">
        <v>817</v>
      </c>
      <c r="G17" s="137" t="s">
        <v>796</v>
      </c>
    </row>
    <row r="18" spans="1:7" x14ac:dyDescent="0.25">
      <c r="A18" s="136" t="s">
        <v>800</v>
      </c>
      <c r="B18" s="137" t="s">
        <v>818</v>
      </c>
      <c r="C18" s="114" t="s">
        <v>819</v>
      </c>
      <c r="D18" s="137" t="s">
        <v>248</v>
      </c>
      <c r="E18" s="138" t="s">
        <v>164</v>
      </c>
      <c r="F18" s="138" t="s">
        <v>820</v>
      </c>
      <c r="G18" s="137" t="s">
        <v>796</v>
      </c>
    </row>
    <row r="19" spans="1:7" ht="25.5" customHeight="1" x14ac:dyDescent="0.25">
      <c r="A19" s="136" t="s">
        <v>211</v>
      </c>
      <c r="B19" s="137" t="s">
        <v>821</v>
      </c>
      <c r="C19" s="114" t="s">
        <v>822</v>
      </c>
      <c r="D19" s="137" t="s">
        <v>248</v>
      </c>
      <c r="E19" s="138" t="s">
        <v>823</v>
      </c>
      <c r="F19" s="138" t="s">
        <v>824</v>
      </c>
      <c r="G19" s="137" t="s">
        <v>825</v>
      </c>
    </row>
    <row r="20" spans="1:7" ht="25.5" customHeight="1" x14ac:dyDescent="0.25">
      <c r="A20" s="136" t="s">
        <v>211</v>
      </c>
      <c r="B20" s="137" t="s">
        <v>826</v>
      </c>
      <c r="C20" s="114" t="s">
        <v>827</v>
      </c>
      <c r="D20" s="137" t="s">
        <v>828</v>
      </c>
      <c r="E20" s="138" t="s">
        <v>829</v>
      </c>
      <c r="F20" s="138" t="s">
        <v>830</v>
      </c>
      <c r="G20" s="137" t="s">
        <v>796</v>
      </c>
    </row>
    <row r="21" spans="1:7" ht="25.5" customHeight="1" x14ac:dyDescent="0.25">
      <c r="A21" s="136" t="s">
        <v>171</v>
      </c>
      <c r="B21" s="137" t="s">
        <v>831</v>
      </c>
      <c r="C21" s="114" t="s">
        <v>832</v>
      </c>
      <c r="D21" s="137" t="s">
        <v>248</v>
      </c>
      <c r="E21" s="138" t="s">
        <v>833</v>
      </c>
      <c r="F21" s="138" t="s">
        <v>834</v>
      </c>
      <c r="G21" s="137" t="s">
        <v>835</v>
      </c>
    </row>
    <row r="22" spans="1:7" ht="24" customHeight="1" x14ac:dyDescent="0.25">
      <c r="A22" s="136" t="s">
        <v>171</v>
      </c>
      <c r="B22" s="137" t="s">
        <v>836</v>
      </c>
      <c r="C22" s="114" t="s">
        <v>837</v>
      </c>
      <c r="D22" s="137" t="s">
        <v>248</v>
      </c>
      <c r="E22" s="138" t="s">
        <v>838</v>
      </c>
      <c r="F22" s="138" t="s">
        <v>839</v>
      </c>
      <c r="G22" s="137" t="s">
        <v>709</v>
      </c>
    </row>
    <row r="23" spans="1:7" ht="60" customHeight="1" x14ac:dyDescent="0.25">
      <c r="A23" s="136" t="s">
        <v>171</v>
      </c>
      <c r="B23" s="137" t="s">
        <v>840</v>
      </c>
      <c r="C23" s="114" t="s">
        <v>841</v>
      </c>
      <c r="D23" s="137" t="s">
        <v>248</v>
      </c>
      <c r="E23" s="138" t="s">
        <v>842</v>
      </c>
      <c r="F23" s="138" t="s">
        <v>843</v>
      </c>
      <c r="G23" s="137" t="s">
        <v>796</v>
      </c>
    </row>
    <row r="24" spans="1:7" ht="36" customHeight="1" x14ac:dyDescent="0.25">
      <c r="A24" s="136" t="s">
        <v>844</v>
      </c>
      <c r="B24" s="137" t="s">
        <v>845</v>
      </c>
      <c r="C24" s="114" t="s">
        <v>846</v>
      </c>
      <c r="D24" s="137" t="s">
        <v>248</v>
      </c>
      <c r="E24" s="138" t="s">
        <v>847</v>
      </c>
      <c r="F24" s="138" t="s">
        <v>848</v>
      </c>
      <c r="G24" s="137" t="s">
        <v>849</v>
      </c>
    </row>
    <row r="25" spans="1:7" ht="21" customHeight="1" x14ac:dyDescent="0.25">
      <c r="A25" s="136" t="s">
        <v>844</v>
      </c>
      <c r="B25" s="137" t="s">
        <v>850</v>
      </c>
      <c r="C25" s="114" t="s">
        <v>851</v>
      </c>
      <c r="D25" s="137" t="s">
        <v>251</v>
      </c>
      <c r="E25" s="138" t="s">
        <v>164</v>
      </c>
      <c r="F25" s="138" t="s">
        <v>852</v>
      </c>
      <c r="G25" s="137" t="s">
        <v>853</v>
      </c>
    </row>
    <row r="26" spans="1:7" ht="21.75" customHeight="1" x14ac:dyDescent="0.25">
      <c r="A26" s="136" t="s">
        <v>16</v>
      </c>
      <c r="B26" s="137" t="s">
        <v>854</v>
      </c>
      <c r="C26" s="114" t="s">
        <v>855</v>
      </c>
      <c r="D26" s="137" t="s">
        <v>251</v>
      </c>
      <c r="E26" s="138" t="s">
        <v>164</v>
      </c>
      <c r="F26" s="138" t="s">
        <v>856</v>
      </c>
      <c r="G26" s="137" t="s">
        <v>796</v>
      </c>
    </row>
    <row r="27" spans="1:7" ht="28.5" customHeight="1" x14ac:dyDescent="0.25">
      <c r="A27" s="136" t="s">
        <v>200</v>
      </c>
      <c r="B27" s="137" t="s">
        <v>857</v>
      </c>
      <c r="C27" s="114" t="s">
        <v>858</v>
      </c>
      <c r="D27" s="137" t="s">
        <v>251</v>
      </c>
      <c r="E27" s="138" t="s">
        <v>164</v>
      </c>
      <c r="F27" s="138" t="s">
        <v>164</v>
      </c>
      <c r="G27" s="137" t="s">
        <v>859</v>
      </c>
    </row>
    <row r="28" spans="1:7" ht="24" customHeight="1" x14ac:dyDescent="0.25">
      <c r="A28" s="136" t="s">
        <v>860</v>
      </c>
      <c r="B28" s="137" t="s">
        <v>861</v>
      </c>
      <c r="C28" s="114" t="s">
        <v>862</v>
      </c>
      <c r="D28" s="137" t="s">
        <v>251</v>
      </c>
      <c r="E28" s="138" t="s">
        <v>164</v>
      </c>
      <c r="F28" s="138" t="s">
        <v>863</v>
      </c>
      <c r="G28" s="137" t="s">
        <v>796</v>
      </c>
    </row>
    <row r="29" spans="1:7" ht="25.5" customHeight="1" x14ac:dyDescent="0.25">
      <c r="A29" s="136" t="s">
        <v>226</v>
      </c>
      <c r="B29" s="137" t="s">
        <v>864</v>
      </c>
      <c r="C29" s="114" t="s">
        <v>865</v>
      </c>
      <c r="D29" s="137" t="s">
        <v>251</v>
      </c>
      <c r="E29" s="138" t="s">
        <v>164</v>
      </c>
      <c r="F29" s="138" t="s">
        <v>866</v>
      </c>
      <c r="G29" s="137" t="s">
        <v>867</v>
      </c>
    </row>
    <row r="30" spans="1:7" ht="29.25" customHeight="1" x14ac:dyDescent="0.25">
      <c r="A30" s="136" t="s">
        <v>216</v>
      </c>
      <c r="B30" s="137" t="s">
        <v>868</v>
      </c>
      <c r="C30" s="114" t="s">
        <v>869</v>
      </c>
      <c r="D30" s="137" t="s">
        <v>251</v>
      </c>
      <c r="E30" s="138" t="s">
        <v>164</v>
      </c>
      <c r="F30" s="138" t="s">
        <v>870</v>
      </c>
      <c r="G30" s="137" t="s">
        <v>853</v>
      </c>
    </row>
    <row r="31" spans="1:7" ht="42" customHeight="1" x14ac:dyDescent="0.25">
      <c r="A31" s="220" t="s">
        <v>353</v>
      </c>
      <c r="B31" s="221" t="s">
        <v>871</v>
      </c>
      <c r="C31" s="222" t="s">
        <v>872</v>
      </c>
      <c r="D31" s="221" t="s">
        <v>248</v>
      </c>
      <c r="E31" s="223" t="s">
        <v>873</v>
      </c>
      <c r="F31" s="223" t="s">
        <v>874</v>
      </c>
      <c r="G31" s="221" t="s">
        <v>769</v>
      </c>
    </row>
    <row r="32" spans="1:7" ht="42" customHeight="1" x14ac:dyDescent="0.25">
      <c r="A32" s="220" t="s">
        <v>353</v>
      </c>
      <c r="B32" s="221" t="s">
        <v>871</v>
      </c>
      <c r="C32" s="222" t="s">
        <v>875</v>
      </c>
      <c r="D32" s="221" t="s">
        <v>248</v>
      </c>
      <c r="E32" s="223" t="s">
        <v>876</v>
      </c>
      <c r="F32" s="223" t="s">
        <v>877</v>
      </c>
      <c r="G32" s="221" t="s">
        <v>796</v>
      </c>
    </row>
    <row r="33" spans="1:7" ht="42" customHeight="1" x14ac:dyDescent="0.25">
      <c r="A33" s="220" t="s">
        <v>353</v>
      </c>
      <c r="B33" s="221" t="s">
        <v>871</v>
      </c>
      <c r="C33" s="222" t="s">
        <v>878</v>
      </c>
      <c r="D33" s="221" t="s">
        <v>248</v>
      </c>
      <c r="E33" s="223" t="s">
        <v>879</v>
      </c>
      <c r="F33" s="223" t="s">
        <v>880</v>
      </c>
      <c r="G33" s="221" t="s">
        <v>796</v>
      </c>
    </row>
    <row r="34" spans="1:7" ht="42" customHeight="1" x14ac:dyDescent="0.25">
      <c r="A34" s="220" t="s">
        <v>353</v>
      </c>
      <c r="B34" s="221" t="s">
        <v>881</v>
      </c>
      <c r="C34" s="222" t="s">
        <v>882</v>
      </c>
      <c r="D34" s="221" t="s">
        <v>248</v>
      </c>
      <c r="E34" s="223" t="s">
        <v>883</v>
      </c>
      <c r="F34" s="223" t="s">
        <v>884</v>
      </c>
      <c r="G34" s="221" t="s">
        <v>709</v>
      </c>
    </row>
    <row r="35" spans="1:7" ht="42" customHeight="1" x14ac:dyDescent="0.25">
      <c r="A35" s="220" t="s">
        <v>353</v>
      </c>
      <c r="B35" s="221" t="s">
        <v>885</v>
      </c>
      <c r="C35" s="222" t="s">
        <v>886</v>
      </c>
      <c r="D35" s="221" t="s">
        <v>248</v>
      </c>
      <c r="E35" s="223" t="s">
        <v>887</v>
      </c>
      <c r="F35" s="223" t="s">
        <v>888</v>
      </c>
      <c r="G35" s="221" t="s">
        <v>796</v>
      </c>
    </row>
    <row r="36" spans="1:7" ht="42" customHeight="1" x14ac:dyDescent="0.25">
      <c r="A36" s="220" t="s">
        <v>353</v>
      </c>
      <c r="B36" s="221" t="s">
        <v>889</v>
      </c>
      <c r="C36" s="222" t="s">
        <v>890</v>
      </c>
      <c r="D36" s="221" t="s">
        <v>251</v>
      </c>
      <c r="E36" s="223" t="s">
        <v>164</v>
      </c>
      <c r="F36" s="223" t="s">
        <v>891</v>
      </c>
      <c r="G36" s="221" t="s">
        <v>796</v>
      </c>
    </row>
    <row r="37" spans="1:7" ht="30" customHeight="1" x14ac:dyDescent="0.25">
      <c r="A37" s="230" t="s">
        <v>892</v>
      </c>
      <c r="B37" s="231" t="s">
        <v>893</v>
      </c>
      <c r="C37" s="232" t="s">
        <v>894</v>
      </c>
      <c r="D37" s="231" t="s">
        <v>248</v>
      </c>
      <c r="E37" s="233" t="s">
        <v>164</v>
      </c>
      <c r="F37" s="233" t="s">
        <v>895</v>
      </c>
      <c r="G37" s="231" t="s">
        <v>896</v>
      </c>
    </row>
    <row r="38" spans="1:7" ht="30" customHeight="1" x14ac:dyDescent="0.25">
      <c r="A38" s="230" t="s">
        <v>892</v>
      </c>
      <c r="B38" s="231" t="s">
        <v>897</v>
      </c>
      <c r="C38" s="232" t="s">
        <v>898</v>
      </c>
      <c r="D38" s="231" t="s">
        <v>251</v>
      </c>
      <c r="E38" s="233" t="s">
        <v>164</v>
      </c>
      <c r="F38" s="233" t="s">
        <v>899</v>
      </c>
      <c r="G38" s="231" t="s">
        <v>900</v>
      </c>
    </row>
  </sheetData>
  <mergeCells count="2">
    <mergeCell ref="A2:E2"/>
    <mergeCell ref="A1:F1"/>
  </mergeCells>
  <conditionalFormatting sqref="D5:D30">
    <cfRule type="expression" dxfId="8" priority="1" stopIfTrue="1">
      <formula>LEFT($D5,6)="Claude"</formula>
    </cfRule>
    <cfRule type="expression" dxfId="7" priority="2" stopIfTrue="1">
      <formula>$D5="User"</formula>
    </cfRule>
    <cfRule type="expression" dxfId="6" priority="3" stopIfTrue="1">
      <formula>$D5="Formula"</formula>
    </cfRule>
  </conditionalFormatting>
  <conditionalFormatting sqref="D5:D36">
    <cfRule type="expression" dxfId="5" priority="4" stopIfTrue="1">
      <formula>LEFT($D5,6)="Claude"</formula>
    </cfRule>
    <cfRule type="expression" dxfId="4" priority="5" stopIfTrue="1">
      <formula>$D5="User"</formula>
    </cfRule>
  </conditionalFormatting>
  <hyperlinks>
    <hyperlink ref="G1" location="'Guide'!A1" display="← Guide" xr:uid="{00000000-0004-0000-0B00-000000000000}"/>
  </hyperlink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sheetPr>
  <dimension ref="A1:H204"/>
  <sheetViews>
    <sheetView showGridLines="0" workbookViewId="0">
      <pane ySplit="4" topLeftCell="A5" activePane="bottomLeft" state="frozen"/>
      <selection pane="bottomLeft"/>
    </sheetView>
  </sheetViews>
  <sheetFormatPr defaultRowHeight="15" x14ac:dyDescent="0.25"/>
  <cols>
    <col min="1" max="1" width="17" customWidth="1"/>
    <col min="2" max="2" width="10" customWidth="1"/>
    <col min="3" max="3" width="16" customWidth="1"/>
    <col min="4" max="4" width="30" customWidth="1"/>
    <col min="5" max="5" width="60" customWidth="1"/>
    <col min="6" max="7" width="36" customWidth="1"/>
    <col min="8" max="8" width="14" customWidth="1"/>
  </cols>
  <sheetData>
    <row r="1" spans="1:8" ht="33.950000000000003" customHeight="1" x14ac:dyDescent="0.25">
      <c r="A1" s="234" t="s">
        <v>901</v>
      </c>
      <c r="B1" s="235"/>
      <c r="C1" s="235"/>
      <c r="D1" s="235"/>
      <c r="E1" s="235"/>
      <c r="F1" s="235"/>
      <c r="G1" s="235"/>
      <c r="H1" s="236" t="s">
        <v>1</v>
      </c>
    </row>
    <row r="2" spans="1:8" ht="30" customHeight="1" x14ac:dyDescent="0.25">
      <c r="A2" s="320" t="s">
        <v>902</v>
      </c>
      <c r="B2" s="273"/>
      <c r="C2" s="273"/>
      <c r="D2" s="273"/>
      <c r="E2" s="273"/>
      <c r="F2" s="273"/>
      <c r="G2" s="273"/>
      <c r="H2" s="273"/>
    </row>
    <row r="3" spans="1:8" ht="8.1" customHeight="1" x14ac:dyDescent="0.25"/>
    <row r="4" spans="1:8" ht="26.1" customHeight="1" x14ac:dyDescent="0.25">
      <c r="A4" s="237" t="s">
        <v>903</v>
      </c>
      <c r="B4" s="237" t="s">
        <v>904</v>
      </c>
      <c r="C4" s="237" t="s">
        <v>905</v>
      </c>
      <c r="D4" s="237" t="s">
        <v>906</v>
      </c>
      <c r="E4" s="237" t="s">
        <v>907</v>
      </c>
      <c r="F4" s="237" t="s">
        <v>908</v>
      </c>
      <c r="G4" s="237" t="s">
        <v>909</v>
      </c>
      <c r="H4" s="237" t="s">
        <v>898</v>
      </c>
    </row>
    <row r="5" spans="1:8" ht="63.95" customHeight="1" x14ac:dyDescent="0.25">
      <c r="A5" s="238">
        <v>46310.604166666657</v>
      </c>
      <c r="B5" s="239" t="s">
        <v>910</v>
      </c>
      <c r="C5" s="239" t="s">
        <v>911</v>
      </c>
      <c r="D5" s="240" t="s">
        <v>912</v>
      </c>
      <c r="E5" s="240" t="s">
        <v>913</v>
      </c>
      <c r="F5" s="240" t="s">
        <v>914</v>
      </c>
      <c r="G5" s="240" t="s">
        <v>915</v>
      </c>
      <c r="H5" s="239"/>
    </row>
    <row r="6" spans="1:8" ht="36" customHeight="1" x14ac:dyDescent="0.25">
      <c r="A6" s="238">
        <v>46310.583333333343</v>
      </c>
      <c r="B6" s="239" t="s">
        <v>916</v>
      </c>
      <c r="C6" s="239" t="s">
        <v>911</v>
      </c>
      <c r="D6" s="240" t="s">
        <v>917</v>
      </c>
      <c r="E6" s="240" t="s">
        <v>918</v>
      </c>
      <c r="F6" s="240" t="s">
        <v>919</v>
      </c>
      <c r="G6" s="240" t="s">
        <v>920</v>
      </c>
      <c r="H6" s="239"/>
    </row>
    <row r="7" spans="1:8" ht="36" x14ac:dyDescent="0.25">
      <c r="A7" s="238">
        <v>46286.802083333343</v>
      </c>
      <c r="B7" s="239" t="s">
        <v>921</v>
      </c>
      <c r="C7" s="239" t="s">
        <v>911</v>
      </c>
      <c r="D7" s="240" t="s">
        <v>922</v>
      </c>
      <c r="E7" s="240" t="s">
        <v>923</v>
      </c>
      <c r="F7" s="240" t="s">
        <v>924</v>
      </c>
      <c r="G7" s="240" t="s">
        <v>925</v>
      </c>
      <c r="H7" s="239"/>
    </row>
    <row r="8" spans="1:8" x14ac:dyDescent="0.25">
      <c r="A8" s="238"/>
      <c r="B8" s="239"/>
      <c r="C8" s="239"/>
      <c r="D8" s="240"/>
      <c r="E8" s="240"/>
      <c r="F8" s="240"/>
      <c r="G8" s="240"/>
      <c r="H8" s="239"/>
    </row>
    <row r="9" spans="1:8" x14ac:dyDescent="0.25">
      <c r="A9" s="238"/>
      <c r="B9" s="239"/>
      <c r="C9" s="239"/>
      <c r="D9" s="240"/>
      <c r="E9" s="240"/>
      <c r="F9" s="240"/>
      <c r="G9" s="240"/>
      <c r="H9" s="239"/>
    </row>
    <row r="10" spans="1:8" x14ac:dyDescent="0.25">
      <c r="A10" s="238"/>
      <c r="B10" s="239"/>
      <c r="C10" s="239"/>
      <c r="D10" s="240"/>
      <c r="E10" s="240"/>
      <c r="F10" s="240"/>
      <c r="G10" s="240"/>
      <c r="H10" s="239"/>
    </row>
    <row r="11" spans="1:8" x14ac:dyDescent="0.25">
      <c r="A11" s="238"/>
      <c r="B11" s="239"/>
      <c r="C11" s="239"/>
      <c r="D11" s="240"/>
      <c r="E11" s="240"/>
      <c r="F11" s="240"/>
      <c r="G11" s="240"/>
      <c r="H11" s="239"/>
    </row>
    <row r="12" spans="1:8" x14ac:dyDescent="0.25">
      <c r="A12" s="238"/>
      <c r="B12" s="239"/>
      <c r="C12" s="239"/>
      <c r="D12" s="240"/>
      <c r="E12" s="240"/>
      <c r="F12" s="240"/>
      <c r="G12" s="240"/>
      <c r="H12" s="239"/>
    </row>
    <row r="13" spans="1:8" x14ac:dyDescent="0.25">
      <c r="A13" s="238"/>
      <c r="B13" s="239"/>
      <c r="C13" s="239"/>
      <c r="D13" s="240"/>
      <c r="E13" s="240"/>
      <c r="F13" s="240"/>
      <c r="G13" s="240"/>
      <c r="H13" s="239"/>
    </row>
    <row r="14" spans="1:8" x14ac:dyDescent="0.25">
      <c r="A14" s="238"/>
      <c r="B14" s="239"/>
      <c r="C14" s="239"/>
      <c r="D14" s="240"/>
      <c r="E14" s="240"/>
      <c r="F14" s="240"/>
      <c r="G14" s="240"/>
      <c r="H14" s="239"/>
    </row>
    <row r="15" spans="1:8" x14ac:dyDescent="0.25">
      <c r="A15" s="238"/>
      <c r="B15" s="239"/>
      <c r="C15" s="239"/>
      <c r="D15" s="240"/>
      <c r="E15" s="240"/>
      <c r="F15" s="240"/>
      <c r="G15" s="240"/>
      <c r="H15" s="239"/>
    </row>
    <row r="16" spans="1:8" x14ac:dyDescent="0.25">
      <c r="A16" s="238"/>
      <c r="B16" s="239"/>
      <c r="C16" s="239"/>
      <c r="D16" s="240"/>
      <c r="E16" s="240"/>
      <c r="F16" s="240"/>
      <c r="G16" s="240"/>
      <c r="H16" s="239"/>
    </row>
    <row r="17" spans="1:8" x14ac:dyDescent="0.25">
      <c r="A17" s="238"/>
      <c r="B17" s="239"/>
      <c r="C17" s="239"/>
      <c r="D17" s="240"/>
      <c r="E17" s="240"/>
      <c r="F17" s="240"/>
      <c r="G17" s="240"/>
      <c r="H17" s="239"/>
    </row>
    <row r="18" spans="1:8" x14ac:dyDescent="0.25">
      <c r="A18" s="238"/>
      <c r="B18" s="239"/>
      <c r="C18" s="239"/>
      <c r="D18" s="240"/>
      <c r="E18" s="240"/>
      <c r="F18" s="240"/>
      <c r="G18" s="240"/>
      <c r="H18" s="239"/>
    </row>
    <row r="19" spans="1:8" x14ac:dyDescent="0.25">
      <c r="A19" s="238"/>
      <c r="B19" s="239"/>
      <c r="C19" s="239"/>
      <c r="D19" s="240"/>
      <c r="E19" s="240"/>
      <c r="F19" s="240"/>
      <c r="G19" s="240"/>
      <c r="H19" s="239"/>
    </row>
    <row r="20" spans="1:8" x14ac:dyDescent="0.25">
      <c r="A20" s="238"/>
      <c r="B20" s="239"/>
      <c r="C20" s="239"/>
      <c r="D20" s="240"/>
      <c r="E20" s="240"/>
      <c r="F20" s="240"/>
      <c r="G20" s="240"/>
      <c r="H20" s="239"/>
    </row>
    <row r="21" spans="1:8" x14ac:dyDescent="0.25">
      <c r="A21" s="238"/>
      <c r="B21" s="239"/>
      <c r="C21" s="239"/>
      <c r="D21" s="240"/>
      <c r="E21" s="240"/>
      <c r="F21" s="240"/>
      <c r="G21" s="240"/>
      <c r="H21" s="239"/>
    </row>
    <row r="22" spans="1:8" x14ac:dyDescent="0.25">
      <c r="A22" s="238"/>
      <c r="B22" s="239"/>
      <c r="C22" s="239"/>
      <c r="D22" s="240"/>
      <c r="E22" s="240"/>
      <c r="F22" s="240"/>
      <c r="G22" s="240"/>
      <c r="H22" s="239"/>
    </row>
    <row r="23" spans="1:8" x14ac:dyDescent="0.25">
      <c r="A23" s="238"/>
      <c r="B23" s="239"/>
      <c r="C23" s="239"/>
      <c r="D23" s="240"/>
      <c r="E23" s="240"/>
      <c r="F23" s="240"/>
      <c r="G23" s="240"/>
      <c r="H23" s="239"/>
    </row>
    <row r="24" spans="1:8" x14ac:dyDescent="0.25">
      <c r="A24" s="238"/>
      <c r="B24" s="239"/>
      <c r="C24" s="239"/>
      <c r="D24" s="240"/>
      <c r="E24" s="240"/>
      <c r="F24" s="240"/>
      <c r="G24" s="240"/>
      <c r="H24" s="239"/>
    </row>
    <row r="25" spans="1:8" x14ac:dyDescent="0.25">
      <c r="A25" s="238"/>
      <c r="B25" s="239"/>
      <c r="C25" s="239"/>
      <c r="D25" s="240"/>
      <c r="E25" s="240"/>
      <c r="F25" s="240"/>
      <c r="G25" s="240"/>
      <c r="H25" s="239"/>
    </row>
    <row r="26" spans="1:8" x14ac:dyDescent="0.25">
      <c r="A26" s="238"/>
      <c r="B26" s="239"/>
      <c r="C26" s="239"/>
      <c r="D26" s="240"/>
      <c r="E26" s="240"/>
      <c r="F26" s="240"/>
      <c r="G26" s="240"/>
      <c r="H26" s="239"/>
    </row>
    <row r="27" spans="1:8" x14ac:dyDescent="0.25">
      <c r="A27" s="238"/>
      <c r="B27" s="239"/>
      <c r="C27" s="239"/>
      <c r="D27" s="240"/>
      <c r="E27" s="240"/>
      <c r="F27" s="240"/>
      <c r="G27" s="240"/>
      <c r="H27" s="239"/>
    </row>
    <row r="28" spans="1:8" x14ac:dyDescent="0.25">
      <c r="A28" s="238"/>
      <c r="B28" s="239"/>
      <c r="C28" s="239"/>
      <c r="D28" s="240"/>
      <c r="E28" s="240"/>
      <c r="F28" s="240"/>
      <c r="G28" s="240"/>
      <c r="H28" s="239"/>
    </row>
    <row r="29" spans="1:8" x14ac:dyDescent="0.25">
      <c r="A29" s="238"/>
      <c r="B29" s="239"/>
      <c r="C29" s="239"/>
      <c r="D29" s="240"/>
      <c r="E29" s="240"/>
      <c r="F29" s="240"/>
      <c r="G29" s="240"/>
      <c r="H29" s="239"/>
    </row>
    <row r="30" spans="1:8" x14ac:dyDescent="0.25">
      <c r="A30" s="238"/>
      <c r="B30" s="239"/>
      <c r="C30" s="239"/>
      <c r="D30" s="240"/>
      <c r="E30" s="240"/>
      <c r="F30" s="240"/>
      <c r="G30" s="240"/>
      <c r="H30" s="239"/>
    </row>
    <row r="31" spans="1:8" x14ac:dyDescent="0.25">
      <c r="A31" s="238"/>
      <c r="B31" s="239"/>
      <c r="C31" s="239"/>
      <c r="D31" s="240"/>
      <c r="E31" s="240"/>
      <c r="F31" s="240"/>
      <c r="G31" s="240"/>
      <c r="H31" s="239"/>
    </row>
    <row r="32" spans="1:8" x14ac:dyDescent="0.25">
      <c r="A32" s="238"/>
      <c r="B32" s="239"/>
      <c r="C32" s="239"/>
      <c r="D32" s="240"/>
      <c r="E32" s="240"/>
      <c r="F32" s="240"/>
      <c r="G32" s="240"/>
      <c r="H32" s="239"/>
    </row>
    <row r="33" spans="1:8" x14ac:dyDescent="0.25">
      <c r="A33" s="238"/>
      <c r="B33" s="239"/>
      <c r="C33" s="239"/>
      <c r="D33" s="240"/>
      <c r="E33" s="240"/>
      <c r="F33" s="240"/>
      <c r="G33" s="240"/>
      <c r="H33" s="239"/>
    </row>
    <row r="34" spans="1:8" x14ac:dyDescent="0.25">
      <c r="A34" s="238"/>
      <c r="B34" s="239"/>
      <c r="C34" s="239"/>
      <c r="D34" s="240"/>
      <c r="E34" s="240"/>
      <c r="F34" s="240"/>
      <c r="G34" s="240"/>
      <c r="H34" s="239"/>
    </row>
    <row r="35" spans="1:8" x14ac:dyDescent="0.25">
      <c r="A35" s="238"/>
      <c r="B35" s="239"/>
      <c r="C35" s="239"/>
      <c r="D35" s="240"/>
      <c r="E35" s="240"/>
      <c r="F35" s="240"/>
      <c r="G35" s="240"/>
      <c r="H35" s="239"/>
    </row>
    <row r="36" spans="1:8" x14ac:dyDescent="0.25">
      <c r="A36" s="238"/>
      <c r="B36" s="239"/>
      <c r="C36" s="239"/>
      <c r="D36" s="240"/>
      <c r="E36" s="240"/>
      <c r="F36" s="240"/>
      <c r="G36" s="240"/>
      <c r="H36" s="239"/>
    </row>
    <row r="37" spans="1:8" x14ac:dyDescent="0.25">
      <c r="A37" s="238"/>
      <c r="B37" s="239"/>
      <c r="C37" s="239"/>
      <c r="D37" s="240"/>
      <c r="E37" s="240"/>
      <c r="F37" s="240"/>
      <c r="G37" s="240"/>
      <c r="H37" s="239"/>
    </row>
    <row r="38" spans="1:8" x14ac:dyDescent="0.25">
      <c r="A38" s="238"/>
      <c r="B38" s="239"/>
      <c r="C38" s="239"/>
      <c r="D38" s="240"/>
      <c r="E38" s="240"/>
      <c r="F38" s="240"/>
      <c r="G38" s="240"/>
      <c r="H38" s="239"/>
    </row>
    <row r="39" spans="1:8" x14ac:dyDescent="0.25">
      <c r="A39" s="238"/>
      <c r="B39" s="239"/>
      <c r="C39" s="239"/>
      <c r="D39" s="240"/>
      <c r="E39" s="240"/>
      <c r="F39" s="240"/>
      <c r="G39" s="240"/>
      <c r="H39" s="239"/>
    </row>
    <row r="40" spans="1:8" x14ac:dyDescent="0.25">
      <c r="A40" s="238"/>
      <c r="B40" s="239"/>
      <c r="C40" s="239"/>
      <c r="D40" s="240"/>
      <c r="E40" s="240"/>
      <c r="F40" s="240"/>
      <c r="G40" s="240"/>
      <c r="H40" s="239"/>
    </row>
    <row r="41" spans="1:8" x14ac:dyDescent="0.25">
      <c r="A41" s="238"/>
      <c r="B41" s="239"/>
      <c r="C41" s="239"/>
      <c r="D41" s="240"/>
      <c r="E41" s="240"/>
      <c r="F41" s="240"/>
      <c r="G41" s="240"/>
      <c r="H41" s="239"/>
    </row>
    <row r="42" spans="1:8" x14ac:dyDescent="0.25">
      <c r="A42" s="238"/>
      <c r="B42" s="239"/>
      <c r="C42" s="239"/>
      <c r="D42" s="240"/>
      <c r="E42" s="240"/>
      <c r="F42" s="240"/>
      <c r="G42" s="240"/>
      <c r="H42" s="239"/>
    </row>
    <row r="43" spans="1:8" x14ac:dyDescent="0.25">
      <c r="A43" s="238"/>
      <c r="B43" s="239"/>
      <c r="C43" s="239"/>
      <c r="D43" s="240"/>
      <c r="E43" s="240"/>
      <c r="F43" s="240"/>
      <c r="G43" s="240"/>
      <c r="H43" s="239"/>
    </row>
    <row r="44" spans="1:8" x14ac:dyDescent="0.25">
      <c r="A44" s="238"/>
      <c r="B44" s="239"/>
      <c r="C44" s="239"/>
      <c r="D44" s="240"/>
      <c r="E44" s="240"/>
      <c r="F44" s="240"/>
      <c r="G44" s="240"/>
      <c r="H44" s="239"/>
    </row>
    <row r="45" spans="1:8" x14ac:dyDescent="0.25">
      <c r="A45" s="238"/>
      <c r="B45" s="239"/>
      <c r="C45" s="239"/>
      <c r="D45" s="240"/>
      <c r="E45" s="240"/>
      <c r="F45" s="240"/>
      <c r="G45" s="240"/>
      <c r="H45" s="239"/>
    </row>
    <row r="46" spans="1:8" x14ac:dyDescent="0.25">
      <c r="A46" s="238"/>
      <c r="B46" s="239"/>
      <c r="C46" s="239"/>
      <c r="D46" s="240"/>
      <c r="E46" s="240"/>
      <c r="F46" s="240"/>
      <c r="G46" s="240"/>
      <c r="H46" s="239"/>
    </row>
    <row r="47" spans="1:8" x14ac:dyDescent="0.25">
      <c r="A47" s="238"/>
      <c r="B47" s="239"/>
      <c r="C47" s="239"/>
      <c r="D47" s="240"/>
      <c r="E47" s="240"/>
      <c r="F47" s="240"/>
      <c r="G47" s="240"/>
      <c r="H47" s="239"/>
    </row>
    <row r="48" spans="1:8" x14ac:dyDescent="0.25">
      <c r="A48" s="238"/>
      <c r="B48" s="239"/>
      <c r="C48" s="239"/>
      <c r="D48" s="240"/>
      <c r="E48" s="240"/>
      <c r="F48" s="240"/>
      <c r="G48" s="240"/>
      <c r="H48" s="239"/>
    </row>
    <row r="49" spans="1:8" x14ac:dyDescent="0.25">
      <c r="A49" s="238"/>
      <c r="B49" s="239"/>
      <c r="C49" s="239"/>
      <c r="D49" s="240"/>
      <c r="E49" s="240"/>
      <c r="F49" s="240"/>
      <c r="G49" s="240"/>
      <c r="H49" s="239"/>
    </row>
    <row r="50" spans="1:8" x14ac:dyDescent="0.25">
      <c r="A50" s="238"/>
      <c r="B50" s="239"/>
      <c r="C50" s="239"/>
      <c r="D50" s="240"/>
      <c r="E50" s="240"/>
      <c r="F50" s="240"/>
      <c r="G50" s="240"/>
      <c r="H50" s="239"/>
    </row>
    <row r="51" spans="1:8" x14ac:dyDescent="0.25">
      <c r="A51" s="238"/>
      <c r="B51" s="239"/>
      <c r="C51" s="239"/>
      <c r="D51" s="240"/>
      <c r="E51" s="240"/>
      <c r="F51" s="240"/>
      <c r="G51" s="240"/>
      <c r="H51" s="239"/>
    </row>
    <row r="52" spans="1:8" x14ac:dyDescent="0.25">
      <c r="A52" s="238"/>
      <c r="B52" s="239"/>
      <c r="C52" s="239"/>
      <c r="D52" s="240"/>
      <c r="E52" s="240"/>
      <c r="F52" s="240"/>
      <c r="G52" s="240"/>
      <c r="H52" s="239"/>
    </row>
    <row r="53" spans="1:8" x14ac:dyDescent="0.25">
      <c r="A53" s="238"/>
      <c r="B53" s="239"/>
      <c r="C53" s="239"/>
      <c r="D53" s="240"/>
      <c r="E53" s="240"/>
      <c r="F53" s="240"/>
      <c r="G53" s="240"/>
      <c r="H53" s="239"/>
    </row>
    <row r="54" spans="1:8" x14ac:dyDescent="0.25">
      <c r="A54" s="238"/>
      <c r="B54" s="239"/>
      <c r="C54" s="239"/>
      <c r="D54" s="240"/>
      <c r="E54" s="240"/>
      <c r="F54" s="240"/>
      <c r="G54" s="240"/>
      <c r="H54" s="239"/>
    </row>
    <row r="55" spans="1:8" x14ac:dyDescent="0.25">
      <c r="A55" s="238"/>
      <c r="B55" s="239"/>
      <c r="C55" s="239"/>
      <c r="D55" s="240"/>
      <c r="E55" s="240"/>
      <c r="F55" s="240"/>
      <c r="G55" s="240"/>
      <c r="H55" s="239"/>
    </row>
    <row r="56" spans="1:8" x14ac:dyDescent="0.25">
      <c r="A56" s="238"/>
      <c r="B56" s="239"/>
      <c r="C56" s="239"/>
      <c r="D56" s="240"/>
      <c r="E56" s="240"/>
      <c r="F56" s="240"/>
      <c r="G56" s="240"/>
      <c r="H56" s="239"/>
    </row>
    <row r="57" spans="1:8" x14ac:dyDescent="0.25">
      <c r="A57" s="238"/>
      <c r="B57" s="239"/>
      <c r="C57" s="239"/>
      <c r="D57" s="240"/>
      <c r="E57" s="240"/>
      <c r="F57" s="240"/>
      <c r="G57" s="240"/>
      <c r="H57" s="239"/>
    </row>
    <row r="58" spans="1:8" x14ac:dyDescent="0.25">
      <c r="A58" s="238"/>
      <c r="B58" s="239"/>
      <c r="C58" s="239"/>
      <c r="D58" s="240"/>
      <c r="E58" s="240"/>
      <c r="F58" s="240"/>
      <c r="G58" s="240"/>
      <c r="H58" s="239"/>
    </row>
    <row r="59" spans="1:8" x14ac:dyDescent="0.25">
      <c r="A59" s="238"/>
      <c r="B59" s="239"/>
      <c r="C59" s="239"/>
      <c r="D59" s="240"/>
      <c r="E59" s="240"/>
      <c r="F59" s="240"/>
      <c r="G59" s="240"/>
      <c r="H59" s="239"/>
    </row>
    <row r="60" spans="1:8" x14ac:dyDescent="0.25">
      <c r="A60" s="238"/>
      <c r="B60" s="239"/>
      <c r="C60" s="239"/>
      <c r="D60" s="240"/>
      <c r="E60" s="240"/>
      <c r="F60" s="240"/>
      <c r="G60" s="240"/>
      <c r="H60" s="239"/>
    </row>
    <row r="61" spans="1:8" x14ac:dyDescent="0.25">
      <c r="A61" s="238"/>
      <c r="B61" s="239"/>
      <c r="C61" s="239"/>
      <c r="D61" s="240"/>
      <c r="E61" s="240"/>
      <c r="F61" s="240"/>
      <c r="G61" s="240"/>
      <c r="H61" s="239"/>
    </row>
    <row r="62" spans="1:8" x14ac:dyDescent="0.25">
      <c r="A62" s="238"/>
      <c r="B62" s="239"/>
      <c r="C62" s="239"/>
      <c r="D62" s="240"/>
      <c r="E62" s="240"/>
      <c r="F62" s="240"/>
      <c r="G62" s="240"/>
      <c r="H62" s="239"/>
    </row>
    <row r="63" spans="1:8" x14ac:dyDescent="0.25">
      <c r="A63" s="238"/>
      <c r="B63" s="239"/>
      <c r="C63" s="239"/>
      <c r="D63" s="240"/>
      <c r="E63" s="240"/>
      <c r="F63" s="240"/>
      <c r="G63" s="240"/>
      <c r="H63" s="239"/>
    </row>
    <row r="64" spans="1:8" x14ac:dyDescent="0.25">
      <c r="A64" s="238"/>
      <c r="B64" s="239"/>
      <c r="C64" s="239"/>
      <c r="D64" s="240"/>
      <c r="E64" s="240"/>
      <c r="F64" s="240"/>
      <c r="G64" s="240"/>
      <c r="H64" s="239"/>
    </row>
    <row r="65" spans="1:8" x14ac:dyDescent="0.25">
      <c r="A65" s="238"/>
      <c r="B65" s="239"/>
      <c r="C65" s="239"/>
      <c r="D65" s="240"/>
      <c r="E65" s="240"/>
      <c r="F65" s="240"/>
      <c r="G65" s="240"/>
      <c r="H65" s="239"/>
    </row>
    <row r="66" spans="1:8" x14ac:dyDescent="0.25">
      <c r="A66" s="238"/>
      <c r="B66" s="239"/>
      <c r="C66" s="239"/>
      <c r="D66" s="240"/>
      <c r="E66" s="240"/>
      <c r="F66" s="240"/>
      <c r="G66" s="240"/>
      <c r="H66" s="239"/>
    </row>
    <row r="67" spans="1:8" x14ac:dyDescent="0.25">
      <c r="A67" s="238"/>
      <c r="B67" s="239"/>
      <c r="C67" s="239"/>
      <c r="D67" s="240"/>
      <c r="E67" s="240"/>
      <c r="F67" s="240"/>
      <c r="G67" s="240"/>
      <c r="H67" s="239"/>
    </row>
    <row r="68" spans="1:8" x14ac:dyDescent="0.25">
      <c r="A68" s="238"/>
      <c r="B68" s="239"/>
      <c r="C68" s="239"/>
      <c r="D68" s="240"/>
      <c r="E68" s="240"/>
      <c r="F68" s="240"/>
      <c r="G68" s="240"/>
      <c r="H68" s="239"/>
    </row>
    <row r="69" spans="1:8" x14ac:dyDescent="0.25">
      <c r="A69" s="238"/>
      <c r="B69" s="239"/>
      <c r="C69" s="239"/>
      <c r="D69" s="240"/>
      <c r="E69" s="240"/>
      <c r="F69" s="240"/>
      <c r="G69" s="240"/>
      <c r="H69" s="239"/>
    </row>
    <row r="70" spans="1:8" x14ac:dyDescent="0.25">
      <c r="A70" s="238"/>
      <c r="B70" s="239"/>
      <c r="C70" s="239"/>
      <c r="D70" s="240"/>
      <c r="E70" s="240"/>
      <c r="F70" s="240"/>
      <c r="G70" s="240"/>
      <c r="H70" s="239"/>
    </row>
    <row r="71" spans="1:8" x14ac:dyDescent="0.25">
      <c r="A71" s="238"/>
      <c r="B71" s="239"/>
      <c r="C71" s="239"/>
      <c r="D71" s="240"/>
      <c r="E71" s="240"/>
      <c r="F71" s="240"/>
      <c r="G71" s="240"/>
      <c r="H71" s="239"/>
    </row>
    <row r="72" spans="1:8" x14ac:dyDescent="0.25">
      <c r="A72" s="238"/>
      <c r="B72" s="239"/>
      <c r="C72" s="239"/>
      <c r="D72" s="240"/>
      <c r="E72" s="240"/>
      <c r="F72" s="240"/>
      <c r="G72" s="240"/>
      <c r="H72" s="239"/>
    </row>
    <row r="73" spans="1:8" x14ac:dyDescent="0.25">
      <c r="A73" s="238"/>
      <c r="B73" s="239"/>
      <c r="C73" s="239"/>
      <c r="D73" s="240"/>
      <c r="E73" s="240"/>
      <c r="F73" s="240"/>
      <c r="G73" s="240"/>
      <c r="H73" s="239"/>
    </row>
    <row r="74" spans="1:8" x14ac:dyDescent="0.25">
      <c r="A74" s="238"/>
      <c r="B74" s="239"/>
      <c r="C74" s="239"/>
      <c r="D74" s="240"/>
      <c r="E74" s="240"/>
      <c r="F74" s="240"/>
      <c r="G74" s="240"/>
      <c r="H74" s="239"/>
    </row>
    <row r="75" spans="1:8" x14ac:dyDescent="0.25">
      <c r="A75" s="238"/>
      <c r="B75" s="239"/>
      <c r="C75" s="239"/>
      <c r="D75" s="240"/>
      <c r="E75" s="240"/>
      <c r="F75" s="240"/>
      <c r="G75" s="240"/>
      <c r="H75" s="239"/>
    </row>
    <row r="76" spans="1:8" x14ac:dyDescent="0.25">
      <c r="A76" s="238"/>
      <c r="B76" s="239"/>
      <c r="C76" s="239"/>
      <c r="D76" s="240"/>
      <c r="E76" s="240"/>
      <c r="F76" s="240"/>
      <c r="G76" s="240"/>
      <c r="H76" s="239"/>
    </row>
    <row r="77" spans="1:8" x14ac:dyDescent="0.25">
      <c r="A77" s="238"/>
      <c r="B77" s="239"/>
      <c r="C77" s="239"/>
      <c r="D77" s="240"/>
      <c r="E77" s="240"/>
      <c r="F77" s="240"/>
      <c r="G77" s="240"/>
      <c r="H77" s="239"/>
    </row>
    <row r="78" spans="1:8" x14ac:dyDescent="0.25">
      <c r="A78" s="238"/>
      <c r="B78" s="239"/>
      <c r="C78" s="239"/>
      <c r="D78" s="240"/>
      <c r="E78" s="240"/>
      <c r="F78" s="240"/>
      <c r="G78" s="240"/>
      <c r="H78" s="239"/>
    </row>
    <row r="79" spans="1:8" x14ac:dyDescent="0.25">
      <c r="A79" s="238"/>
      <c r="B79" s="239"/>
      <c r="C79" s="239"/>
      <c r="D79" s="240"/>
      <c r="E79" s="240"/>
      <c r="F79" s="240"/>
      <c r="G79" s="240"/>
      <c r="H79" s="239"/>
    </row>
    <row r="80" spans="1:8" x14ac:dyDescent="0.25">
      <c r="A80" s="238"/>
      <c r="B80" s="239"/>
      <c r="C80" s="239"/>
      <c r="D80" s="240"/>
      <c r="E80" s="240"/>
      <c r="F80" s="240"/>
      <c r="G80" s="240"/>
      <c r="H80" s="239"/>
    </row>
    <row r="81" spans="1:8" x14ac:dyDescent="0.25">
      <c r="A81" s="238"/>
      <c r="B81" s="239"/>
      <c r="C81" s="239"/>
      <c r="D81" s="240"/>
      <c r="E81" s="240"/>
      <c r="F81" s="240"/>
      <c r="G81" s="240"/>
      <c r="H81" s="239"/>
    </row>
    <row r="82" spans="1:8" x14ac:dyDescent="0.25">
      <c r="A82" s="238"/>
      <c r="B82" s="239"/>
      <c r="C82" s="239"/>
      <c r="D82" s="240"/>
      <c r="E82" s="240"/>
      <c r="F82" s="240"/>
      <c r="G82" s="240"/>
      <c r="H82" s="239"/>
    </row>
    <row r="83" spans="1:8" x14ac:dyDescent="0.25">
      <c r="A83" s="238"/>
      <c r="B83" s="239"/>
      <c r="C83" s="239"/>
      <c r="D83" s="240"/>
      <c r="E83" s="240"/>
      <c r="F83" s="240"/>
      <c r="G83" s="240"/>
      <c r="H83" s="239"/>
    </row>
    <row r="84" spans="1:8" x14ac:dyDescent="0.25">
      <c r="A84" s="238"/>
      <c r="B84" s="239"/>
      <c r="C84" s="239"/>
      <c r="D84" s="240"/>
      <c r="E84" s="240"/>
      <c r="F84" s="240"/>
      <c r="G84" s="240"/>
      <c r="H84" s="239"/>
    </row>
    <row r="85" spans="1:8" x14ac:dyDescent="0.25">
      <c r="A85" s="238"/>
      <c r="B85" s="239"/>
      <c r="C85" s="239"/>
      <c r="D85" s="240"/>
      <c r="E85" s="240"/>
      <c r="F85" s="240"/>
      <c r="G85" s="240"/>
      <c r="H85" s="239"/>
    </row>
    <row r="86" spans="1:8" x14ac:dyDescent="0.25">
      <c r="A86" s="238"/>
      <c r="B86" s="239"/>
      <c r="C86" s="239"/>
      <c r="D86" s="240"/>
      <c r="E86" s="240"/>
      <c r="F86" s="240"/>
      <c r="G86" s="240"/>
      <c r="H86" s="239"/>
    </row>
    <row r="87" spans="1:8" x14ac:dyDescent="0.25">
      <c r="A87" s="238"/>
      <c r="B87" s="239"/>
      <c r="C87" s="239"/>
      <c r="D87" s="240"/>
      <c r="E87" s="240"/>
      <c r="F87" s="240"/>
      <c r="G87" s="240"/>
      <c r="H87" s="239"/>
    </row>
    <row r="88" spans="1:8" x14ac:dyDescent="0.25">
      <c r="A88" s="238"/>
      <c r="B88" s="239"/>
      <c r="C88" s="239"/>
      <c r="D88" s="240"/>
      <c r="E88" s="240"/>
      <c r="F88" s="240"/>
      <c r="G88" s="240"/>
      <c r="H88" s="239"/>
    </row>
    <row r="89" spans="1:8" x14ac:dyDescent="0.25">
      <c r="A89" s="238"/>
      <c r="B89" s="239"/>
      <c r="C89" s="239"/>
      <c r="D89" s="240"/>
      <c r="E89" s="240"/>
      <c r="F89" s="240"/>
      <c r="G89" s="240"/>
      <c r="H89" s="239"/>
    </row>
    <row r="90" spans="1:8" x14ac:dyDescent="0.25">
      <c r="A90" s="238"/>
      <c r="B90" s="239"/>
      <c r="C90" s="239"/>
      <c r="D90" s="240"/>
      <c r="E90" s="240"/>
      <c r="F90" s="240"/>
      <c r="G90" s="240"/>
      <c r="H90" s="239"/>
    </row>
    <row r="91" spans="1:8" x14ac:dyDescent="0.25">
      <c r="A91" s="238"/>
      <c r="B91" s="239"/>
      <c r="C91" s="239"/>
      <c r="D91" s="240"/>
      <c r="E91" s="240"/>
      <c r="F91" s="240"/>
      <c r="G91" s="240"/>
      <c r="H91" s="239"/>
    </row>
    <row r="92" spans="1:8" x14ac:dyDescent="0.25">
      <c r="A92" s="238"/>
      <c r="B92" s="239"/>
      <c r="C92" s="239"/>
      <c r="D92" s="240"/>
      <c r="E92" s="240"/>
      <c r="F92" s="240"/>
      <c r="G92" s="240"/>
      <c r="H92" s="239"/>
    </row>
    <row r="93" spans="1:8" x14ac:dyDescent="0.25">
      <c r="A93" s="238"/>
      <c r="B93" s="239"/>
      <c r="C93" s="239"/>
      <c r="D93" s="240"/>
      <c r="E93" s="240"/>
      <c r="F93" s="240"/>
      <c r="G93" s="240"/>
      <c r="H93" s="239"/>
    </row>
    <row r="94" spans="1:8" x14ac:dyDescent="0.25">
      <c r="A94" s="238"/>
      <c r="B94" s="239"/>
      <c r="C94" s="239"/>
      <c r="D94" s="240"/>
      <c r="E94" s="240"/>
      <c r="F94" s="240"/>
      <c r="G94" s="240"/>
      <c r="H94" s="239"/>
    </row>
    <row r="95" spans="1:8" x14ac:dyDescent="0.25">
      <c r="A95" s="238"/>
      <c r="B95" s="239"/>
      <c r="C95" s="239"/>
      <c r="D95" s="240"/>
      <c r="E95" s="240"/>
      <c r="F95" s="240"/>
      <c r="G95" s="240"/>
      <c r="H95" s="239"/>
    </row>
    <row r="96" spans="1:8" x14ac:dyDescent="0.25">
      <c r="A96" s="238"/>
      <c r="B96" s="239"/>
      <c r="C96" s="239"/>
      <c r="D96" s="240"/>
      <c r="E96" s="240"/>
      <c r="F96" s="240"/>
      <c r="G96" s="240"/>
      <c r="H96" s="239"/>
    </row>
    <row r="97" spans="1:8" x14ac:dyDescent="0.25">
      <c r="A97" s="238"/>
      <c r="B97" s="239"/>
      <c r="C97" s="239"/>
      <c r="D97" s="240"/>
      <c r="E97" s="240"/>
      <c r="F97" s="240"/>
      <c r="G97" s="240"/>
      <c r="H97" s="239"/>
    </row>
    <row r="98" spans="1:8" x14ac:dyDescent="0.25">
      <c r="A98" s="238"/>
      <c r="B98" s="239"/>
      <c r="C98" s="239"/>
      <c r="D98" s="240"/>
      <c r="E98" s="240"/>
      <c r="F98" s="240"/>
      <c r="G98" s="240"/>
      <c r="H98" s="239"/>
    </row>
    <row r="99" spans="1:8" x14ac:dyDescent="0.25">
      <c r="A99" s="238"/>
      <c r="B99" s="239"/>
      <c r="C99" s="239"/>
      <c r="D99" s="240"/>
      <c r="E99" s="240"/>
      <c r="F99" s="240"/>
      <c r="G99" s="240"/>
      <c r="H99" s="239"/>
    </row>
    <row r="100" spans="1:8" x14ac:dyDescent="0.25">
      <c r="A100" s="238"/>
      <c r="B100" s="239"/>
      <c r="C100" s="239"/>
      <c r="D100" s="240"/>
      <c r="E100" s="240"/>
      <c r="F100" s="240"/>
      <c r="G100" s="240"/>
      <c r="H100" s="239"/>
    </row>
    <row r="101" spans="1:8" x14ac:dyDescent="0.25">
      <c r="A101" s="238"/>
      <c r="B101" s="239"/>
      <c r="C101" s="239"/>
      <c r="D101" s="240"/>
      <c r="E101" s="240"/>
      <c r="F101" s="240"/>
      <c r="G101" s="240"/>
      <c r="H101" s="239"/>
    </row>
    <row r="102" spans="1:8" x14ac:dyDescent="0.25">
      <c r="A102" s="238"/>
      <c r="B102" s="239"/>
      <c r="C102" s="239"/>
      <c r="D102" s="240"/>
      <c r="E102" s="240"/>
      <c r="F102" s="240"/>
      <c r="G102" s="240"/>
      <c r="H102" s="239"/>
    </row>
    <row r="103" spans="1:8" x14ac:dyDescent="0.25">
      <c r="A103" s="238"/>
      <c r="B103" s="239"/>
      <c r="C103" s="239"/>
      <c r="D103" s="240"/>
      <c r="E103" s="240"/>
      <c r="F103" s="240"/>
      <c r="G103" s="240"/>
      <c r="H103" s="239"/>
    </row>
    <row r="104" spans="1:8" x14ac:dyDescent="0.25">
      <c r="A104" s="238"/>
      <c r="B104" s="239"/>
      <c r="C104" s="239"/>
      <c r="D104" s="240"/>
      <c r="E104" s="240"/>
      <c r="F104" s="240"/>
      <c r="G104" s="240"/>
      <c r="H104" s="239"/>
    </row>
    <row r="105" spans="1:8" x14ac:dyDescent="0.25">
      <c r="A105" s="238"/>
      <c r="B105" s="239"/>
      <c r="C105" s="239"/>
      <c r="D105" s="240"/>
      <c r="E105" s="240"/>
      <c r="F105" s="240"/>
      <c r="G105" s="240"/>
      <c r="H105" s="239"/>
    </row>
    <row r="106" spans="1:8" x14ac:dyDescent="0.25">
      <c r="A106" s="238"/>
      <c r="B106" s="239"/>
      <c r="C106" s="239"/>
      <c r="D106" s="240"/>
      <c r="E106" s="240"/>
      <c r="F106" s="240"/>
      <c r="G106" s="240"/>
      <c r="H106" s="239"/>
    </row>
    <row r="107" spans="1:8" x14ac:dyDescent="0.25">
      <c r="A107" s="238"/>
      <c r="B107" s="239"/>
      <c r="C107" s="239"/>
      <c r="D107" s="240"/>
      <c r="E107" s="240"/>
      <c r="F107" s="240"/>
      <c r="G107" s="240"/>
      <c r="H107" s="239"/>
    </row>
    <row r="108" spans="1:8" x14ac:dyDescent="0.25">
      <c r="A108" s="238"/>
      <c r="B108" s="239"/>
      <c r="C108" s="239"/>
      <c r="D108" s="240"/>
      <c r="E108" s="240"/>
      <c r="F108" s="240"/>
      <c r="G108" s="240"/>
      <c r="H108" s="239"/>
    </row>
    <row r="109" spans="1:8" x14ac:dyDescent="0.25">
      <c r="A109" s="238"/>
      <c r="B109" s="239"/>
      <c r="C109" s="239"/>
      <c r="D109" s="240"/>
      <c r="E109" s="240"/>
      <c r="F109" s="240"/>
      <c r="G109" s="240"/>
      <c r="H109" s="239"/>
    </row>
    <row r="110" spans="1:8" x14ac:dyDescent="0.25">
      <c r="A110" s="238"/>
      <c r="B110" s="239"/>
      <c r="C110" s="239"/>
      <c r="D110" s="240"/>
      <c r="E110" s="240"/>
      <c r="F110" s="240"/>
      <c r="G110" s="240"/>
      <c r="H110" s="239"/>
    </row>
    <row r="111" spans="1:8" x14ac:dyDescent="0.25">
      <c r="A111" s="238"/>
      <c r="B111" s="239"/>
      <c r="C111" s="239"/>
      <c r="D111" s="240"/>
      <c r="E111" s="240"/>
      <c r="F111" s="240"/>
      <c r="G111" s="240"/>
      <c r="H111" s="239"/>
    </row>
    <row r="112" spans="1:8" x14ac:dyDescent="0.25">
      <c r="A112" s="238"/>
      <c r="B112" s="239"/>
      <c r="C112" s="239"/>
      <c r="D112" s="240"/>
      <c r="E112" s="240"/>
      <c r="F112" s="240"/>
      <c r="G112" s="240"/>
      <c r="H112" s="239"/>
    </row>
    <row r="113" spans="1:8" x14ac:dyDescent="0.25">
      <c r="A113" s="238"/>
      <c r="B113" s="239"/>
      <c r="C113" s="239"/>
      <c r="D113" s="240"/>
      <c r="E113" s="240"/>
      <c r="F113" s="240"/>
      <c r="G113" s="240"/>
      <c r="H113" s="239"/>
    </row>
    <row r="114" spans="1:8" x14ac:dyDescent="0.25">
      <c r="A114" s="238"/>
      <c r="B114" s="239"/>
      <c r="C114" s="239"/>
      <c r="D114" s="240"/>
      <c r="E114" s="240"/>
      <c r="F114" s="240"/>
      <c r="G114" s="240"/>
      <c r="H114" s="239"/>
    </row>
    <row r="115" spans="1:8" x14ac:dyDescent="0.25">
      <c r="A115" s="238"/>
      <c r="B115" s="239"/>
      <c r="C115" s="239"/>
      <c r="D115" s="240"/>
      <c r="E115" s="240"/>
      <c r="F115" s="240"/>
      <c r="G115" s="240"/>
      <c r="H115" s="239"/>
    </row>
    <row r="116" spans="1:8" x14ac:dyDescent="0.25">
      <c r="A116" s="238"/>
      <c r="B116" s="239"/>
      <c r="C116" s="239"/>
      <c r="D116" s="240"/>
      <c r="E116" s="240"/>
      <c r="F116" s="240"/>
      <c r="G116" s="240"/>
      <c r="H116" s="239"/>
    </row>
    <row r="117" spans="1:8" x14ac:dyDescent="0.25">
      <c r="A117" s="238"/>
      <c r="B117" s="239"/>
      <c r="C117" s="239"/>
      <c r="D117" s="240"/>
      <c r="E117" s="240"/>
      <c r="F117" s="240"/>
      <c r="G117" s="240"/>
      <c r="H117" s="239"/>
    </row>
    <row r="118" spans="1:8" x14ac:dyDescent="0.25">
      <c r="A118" s="238"/>
      <c r="B118" s="239"/>
      <c r="C118" s="239"/>
      <c r="D118" s="240"/>
      <c r="E118" s="240"/>
      <c r="F118" s="240"/>
      <c r="G118" s="240"/>
      <c r="H118" s="239"/>
    </row>
    <row r="119" spans="1:8" x14ac:dyDescent="0.25">
      <c r="A119" s="238"/>
      <c r="B119" s="239"/>
      <c r="C119" s="239"/>
      <c r="D119" s="240"/>
      <c r="E119" s="240"/>
      <c r="F119" s="240"/>
      <c r="G119" s="240"/>
      <c r="H119" s="239"/>
    </row>
    <row r="120" spans="1:8" x14ac:dyDescent="0.25">
      <c r="A120" s="238"/>
      <c r="B120" s="239"/>
      <c r="C120" s="239"/>
      <c r="D120" s="240"/>
      <c r="E120" s="240"/>
      <c r="F120" s="240"/>
      <c r="G120" s="240"/>
      <c r="H120" s="239"/>
    </row>
    <row r="121" spans="1:8" x14ac:dyDescent="0.25">
      <c r="A121" s="238"/>
      <c r="B121" s="239"/>
      <c r="C121" s="239"/>
      <c r="D121" s="240"/>
      <c r="E121" s="240"/>
      <c r="F121" s="240"/>
      <c r="G121" s="240"/>
      <c r="H121" s="239"/>
    </row>
    <row r="122" spans="1:8" x14ac:dyDescent="0.25">
      <c r="A122" s="238"/>
      <c r="B122" s="239"/>
      <c r="C122" s="239"/>
      <c r="D122" s="240"/>
      <c r="E122" s="240"/>
      <c r="F122" s="240"/>
      <c r="G122" s="240"/>
      <c r="H122" s="239"/>
    </row>
    <row r="123" spans="1:8" x14ac:dyDescent="0.25">
      <c r="A123" s="238"/>
      <c r="B123" s="239"/>
      <c r="C123" s="239"/>
      <c r="D123" s="240"/>
      <c r="E123" s="240"/>
      <c r="F123" s="240"/>
      <c r="G123" s="240"/>
      <c r="H123" s="239"/>
    </row>
    <row r="124" spans="1:8" x14ac:dyDescent="0.25">
      <c r="A124" s="238"/>
      <c r="B124" s="239"/>
      <c r="C124" s="239"/>
      <c r="D124" s="240"/>
      <c r="E124" s="240"/>
      <c r="F124" s="240"/>
      <c r="G124" s="240"/>
      <c r="H124" s="239"/>
    </row>
    <row r="125" spans="1:8" x14ac:dyDescent="0.25">
      <c r="A125" s="238"/>
      <c r="B125" s="239"/>
      <c r="C125" s="239"/>
      <c r="D125" s="240"/>
      <c r="E125" s="240"/>
      <c r="F125" s="240"/>
      <c r="G125" s="240"/>
      <c r="H125" s="239"/>
    </row>
    <row r="126" spans="1:8" x14ac:dyDescent="0.25">
      <c r="A126" s="238"/>
      <c r="B126" s="239"/>
      <c r="C126" s="239"/>
      <c r="D126" s="240"/>
      <c r="E126" s="240"/>
      <c r="F126" s="240"/>
      <c r="G126" s="240"/>
      <c r="H126" s="239"/>
    </row>
    <row r="127" spans="1:8" x14ac:dyDescent="0.25">
      <c r="A127" s="238"/>
      <c r="B127" s="239"/>
      <c r="C127" s="239"/>
      <c r="D127" s="240"/>
      <c r="E127" s="240"/>
      <c r="F127" s="240"/>
      <c r="G127" s="240"/>
      <c r="H127" s="239"/>
    </row>
    <row r="128" spans="1:8" x14ac:dyDescent="0.25">
      <c r="A128" s="238"/>
      <c r="B128" s="239"/>
      <c r="C128" s="239"/>
      <c r="D128" s="240"/>
      <c r="E128" s="240"/>
      <c r="F128" s="240"/>
      <c r="G128" s="240"/>
      <c r="H128" s="239"/>
    </row>
    <row r="129" spans="1:8" x14ac:dyDescent="0.25">
      <c r="A129" s="238"/>
      <c r="B129" s="239"/>
      <c r="C129" s="239"/>
      <c r="D129" s="240"/>
      <c r="E129" s="240"/>
      <c r="F129" s="240"/>
      <c r="G129" s="240"/>
      <c r="H129" s="239"/>
    </row>
    <row r="130" spans="1:8" x14ac:dyDescent="0.25">
      <c r="A130" s="238"/>
      <c r="B130" s="239"/>
      <c r="C130" s="239"/>
      <c r="D130" s="240"/>
      <c r="E130" s="240"/>
      <c r="F130" s="240"/>
      <c r="G130" s="240"/>
      <c r="H130" s="239"/>
    </row>
    <row r="131" spans="1:8" x14ac:dyDescent="0.25">
      <c r="A131" s="238"/>
      <c r="B131" s="239"/>
      <c r="C131" s="239"/>
      <c r="D131" s="240"/>
      <c r="E131" s="240"/>
      <c r="F131" s="240"/>
      <c r="G131" s="240"/>
      <c r="H131" s="239"/>
    </row>
    <row r="132" spans="1:8" x14ac:dyDescent="0.25">
      <c r="A132" s="238"/>
      <c r="B132" s="239"/>
      <c r="C132" s="239"/>
      <c r="D132" s="240"/>
      <c r="E132" s="240"/>
      <c r="F132" s="240"/>
      <c r="G132" s="240"/>
      <c r="H132" s="239"/>
    </row>
    <row r="133" spans="1:8" x14ac:dyDescent="0.25">
      <c r="A133" s="238"/>
      <c r="B133" s="239"/>
      <c r="C133" s="239"/>
      <c r="D133" s="240"/>
      <c r="E133" s="240"/>
      <c r="F133" s="240"/>
      <c r="G133" s="240"/>
      <c r="H133" s="239"/>
    </row>
    <row r="134" spans="1:8" x14ac:dyDescent="0.25">
      <c r="A134" s="238"/>
      <c r="B134" s="239"/>
      <c r="C134" s="239"/>
      <c r="D134" s="240"/>
      <c r="E134" s="240"/>
      <c r="F134" s="240"/>
      <c r="G134" s="240"/>
      <c r="H134" s="239"/>
    </row>
    <row r="135" spans="1:8" x14ac:dyDescent="0.25">
      <c r="A135" s="238"/>
      <c r="B135" s="239"/>
      <c r="C135" s="239"/>
      <c r="D135" s="240"/>
      <c r="E135" s="240"/>
      <c r="F135" s="240"/>
      <c r="G135" s="240"/>
      <c r="H135" s="239"/>
    </row>
    <row r="136" spans="1:8" x14ac:dyDescent="0.25">
      <c r="A136" s="238"/>
      <c r="B136" s="239"/>
      <c r="C136" s="239"/>
      <c r="D136" s="240"/>
      <c r="E136" s="240"/>
      <c r="F136" s="240"/>
      <c r="G136" s="240"/>
      <c r="H136" s="239"/>
    </row>
    <row r="137" spans="1:8" x14ac:dyDescent="0.25">
      <c r="A137" s="238"/>
      <c r="B137" s="239"/>
      <c r="C137" s="239"/>
      <c r="D137" s="240"/>
      <c r="E137" s="240"/>
      <c r="F137" s="240"/>
      <c r="G137" s="240"/>
      <c r="H137" s="239"/>
    </row>
    <row r="138" spans="1:8" x14ac:dyDescent="0.25">
      <c r="A138" s="238"/>
      <c r="B138" s="239"/>
      <c r="C138" s="239"/>
      <c r="D138" s="240"/>
      <c r="E138" s="240"/>
      <c r="F138" s="240"/>
      <c r="G138" s="240"/>
      <c r="H138" s="239"/>
    </row>
    <row r="139" spans="1:8" x14ac:dyDescent="0.25">
      <c r="A139" s="238"/>
      <c r="B139" s="239"/>
      <c r="C139" s="239"/>
      <c r="D139" s="240"/>
      <c r="E139" s="240"/>
      <c r="F139" s="240"/>
      <c r="G139" s="240"/>
      <c r="H139" s="239"/>
    </row>
    <row r="140" spans="1:8" x14ac:dyDescent="0.25">
      <c r="A140" s="238"/>
      <c r="B140" s="239"/>
      <c r="C140" s="239"/>
      <c r="D140" s="240"/>
      <c r="E140" s="240"/>
      <c r="F140" s="240"/>
      <c r="G140" s="240"/>
      <c r="H140" s="239"/>
    </row>
    <row r="141" spans="1:8" x14ac:dyDescent="0.25">
      <c r="A141" s="238"/>
      <c r="B141" s="239"/>
      <c r="C141" s="239"/>
      <c r="D141" s="240"/>
      <c r="E141" s="240"/>
      <c r="F141" s="240"/>
      <c r="G141" s="240"/>
      <c r="H141" s="239"/>
    </row>
    <row r="142" spans="1:8" x14ac:dyDescent="0.25">
      <c r="A142" s="238"/>
      <c r="B142" s="239"/>
      <c r="C142" s="239"/>
      <c r="D142" s="240"/>
      <c r="E142" s="240"/>
      <c r="F142" s="240"/>
      <c r="G142" s="240"/>
      <c r="H142" s="239"/>
    </row>
    <row r="143" spans="1:8" x14ac:dyDescent="0.25">
      <c r="A143" s="238"/>
      <c r="B143" s="239"/>
      <c r="C143" s="239"/>
      <c r="D143" s="240"/>
      <c r="E143" s="240"/>
      <c r="F143" s="240"/>
      <c r="G143" s="240"/>
      <c r="H143" s="239"/>
    </row>
    <row r="144" spans="1:8" x14ac:dyDescent="0.25">
      <c r="A144" s="238"/>
      <c r="B144" s="239"/>
      <c r="C144" s="239"/>
      <c r="D144" s="240"/>
      <c r="E144" s="240"/>
      <c r="F144" s="240"/>
      <c r="G144" s="240"/>
      <c r="H144" s="239"/>
    </row>
    <row r="145" spans="1:8" x14ac:dyDescent="0.25">
      <c r="A145" s="238"/>
      <c r="B145" s="239"/>
      <c r="C145" s="239"/>
      <c r="D145" s="240"/>
      <c r="E145" s="240"/>
      <c r="F145" s="240"/>
      <c r="G145" s="240"/>
      <c r="H145" s="239"/>
    </row>
    <row r="146" spans="1:8" x14ac:dyDescent="0.25">
      <c r="A146" s="238"/>
      <c r="B146" s="239"/>
      <c r="C146" s="239"/>
      <c r="D146" s="240"/>
      <c r="E146" s="240"/>
      <c r="F146" s="240"/>
      <c r="G146" s="240"/>
      <c r="H146" s="239"/>
    </row>
    <row r="147" spans="1:8" x14ac:dyDescent="0.25">
      <c r="A147" s="238"/>
      <c r="B147" s="239"/>
      <c r="C147" s="239"/>
      <c r="D147" s="240"/>
      <c r="E147" s="240"/>
      <c r="F147" s="240"/>
      <c r="G147" s="240"/>
      <c r="H147" s="239"/>
    </row>
    <row r="148" spans="1:8" x14ac:dyDescent="0.25">
      <c r="A148" s="238"/>
      <c r="B148" s="239"/>
      <c r="C148" s="239"/>
      <c r="D148" s="240"/>
      <c r="E148" s="240"/>
      <c r="F148" s="240"/>
      <c r="G148" s="240"/>
      <c r="H148" s="239"/>
    </row>
    <row r="149" spans="1:8" x14ac:dyDescent="0.25">
      <c r="A149" s="238"/>
      <c r="B149" s="239"/>
      <c r="C149" s="239"/>
      <c r="D149" s="240"/>
      <c r="E149" s="240"/>
      <c r="F149" s="240"/>
      <c r="G149" s="240"/>
      <c r="H149" s="239"/>
    </row>
    <row r="150" spans="1:8" x14ac:dyDescent="0.25">
      <c r="A150" s="238"/>
      <c r="B150" s="239"/>
      <c r="C150" s="239"/>
      <c r="D150" s="240"/>
      <c r="E150" s="240"/>
      <c r="F150" s="240"/>
      <c r="G150" s="240"/>
      <c r="H150" s="239"/>
    </row>
    <row r="151" spans="1:8" x14ac:dyDescent="0.25">
      <c r="A151" s="238"/>
      <c r="B151" s="239"/>
      <c r="C151" s="239"/>
      <c r="D151" s="240"/>
      <c r="E151" s="240"/>
      <c r="F151" s="240"/>
      <c r="G151" s="240"/>
      <c r="H151" s="239"/>
    </row>
    <row r="152" spans="1:8" x14ac:dyDescent="0.25">
      <c r="A152" s="238"/>
      <c r="B152" s="239"/>
      <c r="C152" s="239"/>
      <c r="D152" s="240"/>
      <c r="E152" s="240"/>
      <c r="F152" s="240"/>
      <c r="G152" s="240"/>
      <c r="H152" s="239"/>
    </row>
    <row r="153" spans="1:8" x14ac:dyDescent="0.25">
      <c r="A153" s="238"/>
      <c r="B153" s="239"/>
      <c r="C153" s="239"/>
      <c r="D153" s="240"/>
      <c r="E153" s="240"/>
      <c r="F153" s="240"/>
      <c r="G153" s="240"/>
      <c r="H153" s="239"/>
    </row>
    <row r="154" spans="1:8" x14ac:dyDescent="0.25">
      <c r="A154" s="238"/>
      <c r="B154" s="239"/>
      <c r="C154" s="239"/>
      <c r="D154" s="240"/>
      <c r="E154" s="240"/>
      <c r="F154" s="240"/>
      <c r="G154" s="240"/>
      <c r="H154" s="239"/>
    </row>
    <row r="155" spans="1:8" x14ac:dyDescent="0.25">
      <c r="A155" s="238"/>
      <c r="B155" s="239"/>
      <c r="C155" s="239"/>
      <c r="D155" s="240"/>
      <c r="E155" s="240"/>
      <c r="F155" s="240"/>
      <c r="G155" s="240"/>
      <c r="H155" s="239"/>
    </row>
    <row r="156" spans="1:8" x14ac:dyDescent="0.25">
      <c r="A156" s="238"/>
      <c r="B156" s="239"/>
      <c r="C156" s="239"/>
      <c r="D156" s="240"/>
      <c r="E156" s="240"/>
      <c r="F156" s="240"/>
      <c r="G156" s="240"/>
      <c r="H156" s="239"/>
    </row>
    <row r="157" spans="1:8" x14ac:dyDescent="0.25">
      <c r="A157" s="238"/>
      <c r="B157" s="239"/>
      <c r="C157" s="239"/>
      <c r="D157" s="240"/>
      <c r="E157" s="240"/>
      <c r="F157" s="240"/>
      <c r="G157" s="240"/>
      <c r="H157" s="239"/>
    </row>
    <row r="158" spans="1:8" x14ac:dyDescent="0.25">
      <c r="A158" s="238"/>
      <c r="B158" s="239"/>
      <c r="C158" s="239"/>
      <c r="D158" s="240"/>
      <c r="E158" s="240"/>
      <c r="F158" s="240"/>
      <c r="G158" s="240"/>
      <c r="H158" s="239"/>
    </row>
    <row r="159" spans="1:8" x14ac:dyDescent="0.25">
      <c r="A159" s="238"/>
      <c r="B159" s="239"/>
      <c r="C159" s="239"/>
      <c r="D159" s="240"/>
      <c r="E159" s="240"/>
      <c r="F159" s="240"/>
      <c r="G159" s="240"/>
      <c r="H159" s="239"/>
    </row>
    <row r="160" spans="1:8" x14ac:dyDescent="0.25">
      <c r="A160" s="238"/>
      <c r="B160" s="239"/>
      <c r="C160" s="239"/>
      <c r="D160" s="240"/>
      <c r="E160" s="240"/>
      <c r="F160" s="240"/>
      <c r="G160" s="240"/>
      <c r="H160" s="239"/>
    </row>
    <row r="161" spans="1:8" x14ac:dyDescent="0.25">
      <c r="A161" s="238"/>
      <c r="B161" s="239"/>
      <c r="C161" s="239"/>
      <c r="D161" s="240"/>
      <c r="E161" s="240"/>
      <c r="F161" s="240"/>
      <c r="G161" s="240"/>
      <c r="H161" s="239"/>
    </row>
    <row r="162" spans="1:8" x14ac:dyDescent="0.25">
      <c r="A162" s="238"/>
      <c r="B162" s="239"/>
      <c r="C162" s="239"/>
      <c r="D162" s="240"/>
      <c r="E162" s="240"/>
      <c r="F162" s="240"/>
      <c r="G162" s="240"/>
      <c r="H162" s="239"/>
    </row>
    <row r="163" spans="1:8" x14ac:dyDescent="0.25">
      <c r="A163" s="238"/>
      <c r="B163" s="239"/>
      <c r="C163" s="239"/>
      <c r="D163" s="240"/>
      <c r="E163" s="240"/>
      <c r="F163" s="240"/>
      <c r="G163" s="240"/>
      <c r="H163" s="239"/>
    </row>
    <row r="164" spans="1:8" x14ac:dyDescent="0.25">
      <c r="A164" s="238"/>
      <c r="B164" s="239"/>
      <c r="C164" s="239"/>
      <c r="D164" s="240"/>
      <c r="E164" s="240"/>
      <c r="F164" s="240"/>
      <c r="G164" s="240"/>
      <c r="H164" s="239"/>
    </row>
    <row r="165" spans="1:8" x14ac:dyDescent="0.25">
      <c r="A165" s="238"/>
      <c r="B165" s="239"/>
      <c r="C165" s="239"/>
      <c r="D165" s="240"/>
      <c r="E165" s="240"/>
      <c r="F165" s="240"/>
      <c r="G165" s="240"/>
      <c r="H165" s="239"/>
    </row>
    <row r="166" spans="1:8" x14ac:dyDescent="0.25">
      <c r="A166" s="238"/>
      <c r="B166" s="239"/>
      <c r="C166" s="239"/>
      <c r="D166" s="240"/>
      <c r="E166" s="240"/>
      <c r="F166" s="240"/>
      <c r="G166" s="240"/>
      <c r="H166" s="239"/>
    </row>
    <row r="167" spans="1:8" x14ac:dyDescent="0.25">
      <c r="A167" s="238"/>
      <c r="B167" s="239"/>
      <c r="C167" s="239"/>
      <c r="D167" s="240"/>
      <c r="E167" s="240"/>
      <c r="F167" s="240"/>
      <c r="G167" s="240"/>
      <c r="H167" s="239"/>
    </row>
    <row r="168" spans="1:8" x14ac:dyDescent="0.25">
      <c r="A168" s="238"/>
      <c r="B168" s="239"/>
      <c r="C168" s="239"/>
      <c r="D168" s="240"/>
      <c r="E168" s="240"/>
      <c r="F168" s="240"/>
      <c r="G168" s="240"/>
      <c r="H168" s="239"/>
    </row>
    <row r="169" spans="1:8" x14ac:dyDescent="0.25">
      <c r="A169" s="238"/>
      <c r="B169" s="239"/>
      <c r="C169" s="239"/>
      <c r="D169" s="240"/>
      <c r="E169" s="240"/>
      <c r="F169" s="240"/>
      <c r="G169" s="240"/>
      <c r="H169" s="239"/>
    </row>
    <row r="170" spans="1:8" x14ac:dyDescent="0.25">
      <c r="A170" s="238"/>
      <c r="B170" s="239"/>
      <c r="C170" s="239"/>
      <c r="D170" s="240"/>
      <c r="E170" s="240"/>
      <c r="F170" s="240"/>
      <c r="G170" s="240"/>
      <c r="H170" s="239"/>
    </row>
    <row r="171" spans="1:8" x14ac:dyDescent="0.25">
      <c r="A171" s="238"/>
      <c r="B171" s="239"/>
      <c r="C171" s="239"/>
      <c r="D171" s="240"/>
      <c r="E171" s="240"/>
      <c r="F171" s="240"/>
      <c r="G171" s="240"/>
      <c r="H171" s="239"/>
    </row>
    <row r="172" spans="1:8" x14ac:dyDescent="0.25">
      <c r="A172" s="238"/>
      <c r="B172" s="239"/>
      <c r="C172" s="239"/>
      <c r="D172" s="240"/>
      <c r="E172" s="240"/>
      <c r="F172" s="240"/>
      <c r="G172" s="240"/>
      <c r="H172" s="239"/>
    </row>
    <row r="173" spans="1:8" x14ac:dyDescent="0.25">
      <c r="A173" s="238"/>
      <c r="B173" s="239"/>
      <c r="C173" s="239"/>
      <c r="D173" s="240"/>
      <c r="E173" s="240"/>
      <c r="F173" s="240"/>
      <c r="G173" s="240"/>
      <c r="H173" s="239"/>
    </row>
    <row r="174" spans="1:8" x14ac:dyDescent="0.25">
      <c r="A174" s="238"/>
      <c r="B174" s="239"/>
      <c r="C174" s="239"/>
      <c r="D174" s="240"/>
      <c r="E174" s="240"/>
      <c r="F174" s="240"/>
      <c r="G174" s="240"/>
      <c r="H174" s="239"/>
    </row>
    <row r="175" spans="1:8" x14ac:dyDescent="0.25">
      <c r="A175" s="238"/>
      <c r="B175" s="239"/>
      <c r="C175" s="239"/>
      <c r="D175" s="240"/>
      <c r="E175" s="240"/>
      <c r="F175" s="240"/>
      <c r="G175" s="240"/>
      <c r="H175" s="239"/>
    </row>
    <row r="176" spans="1:8" x14ac:dyDescent="0.25">
      <c r="A176" s="238"/>
      <c r="B176" s="239"/>
      <c r="C176" s="239"/>
      <c r="D176" s="240"/>
      <c r="E176" s="240"/>
      <c r="F176" s="240"/>
      <c r="G176" s="240"/>
      <c r="H176" s="239"/>
    </row>
    <row r="177" spans="1:8" x14ac:dyDescent="0.25">
      <c r="A177" s="238"/>
      <c r="B177" s="239"/>
      <c r="C177" s="239"/>
      <c r="D177" s="240"/>
      <c r="E177" s="240"/>
      <c r="F177" s="240"/>
      <c r="G177" s="240"/>
      <c r="H177" s="239"/>
    </row>
    <row r="178" spans="1:8" x14ac:dyDescent="0.25">
      <c r="A178" s="238"/>
      <c r="B178" s="239"/>
      <c r="C178" s="239"/>
      <c r="D178" s="240"/>
      <c r="E178" s="240"/>
      <c r="F178" s="240"/>
      <c r="G178" s="240"/>
      <c r="H178" s="239"/>
    </row>
    <row r="179" spans="1:8" x14ac:dyDescent="0.25">
      <c r="A179" s="238"/>
      <c r="B179" s="239"/>
      <c r="C179" s="239"/>
      <c r="D179" s="240"/>
      <c r="E179" s="240"/>
      <c r="F179" s="240"/>
      <c r="G179" s="240"/>
      <c r="H179" s="239"/>
    </row>
    <row r="180" spans="1:8" x14ac:dyDescent="0.25">
      <c r="A180" s="238"/>
      <c r="B180" s="239"/>
      <c r="C180" s="239"/>
      <c r="D180" s="240"/>
      <c r="E180" s="240"/>
      <c r="F180" s="240"/>
      <c r="G180" s="240"/>
      <c r="H180" s="239"/>
    </row>
    <row r="181" spans="1:8" x14ac:dyDescent="0.25">
      <c r="A181" s="238"/>
      <c r="B181" s="239"/>
      <c r="C181" s="239"/>
      <c r="D181" s="240"/>
      <c r="E181" s="240"/>
      <c r="F181" s="240"/>
      <c r="G181" s="240"/>
      <c r="H181" s="239"/>
    </row>
    <row r="182" spans="1:8" x14ac:dyDescent="0.25">
      <c r="A182" s="238"/>
      <c r="B182" s="239"/>
      <c r="C182" s="239"/>
      <c r="D182" s="240"/>
      <c r="E182" s="240"/>
      <c r="F182" s="240"/>
      <c r="G182" s="240"/>
      <c r="H182" s="239"/>
    </row>
    <row r="183" spans="1:8" x14ac:dyDescent="0.25">
      <c r="A183" s="238"/>
      <c r="B183" s="239"/>
      <c r="C183" s="239"/>
      <c r="D183" s="240"/>
      <c r="E183" s="240"/>
      <c r="F183" s="240"/>
      <c r="G183" s="240"/>
      <c r="H183" s="239"/>
    </row>
    <row r="184" spans="1:8" x14ac:dyDescent="0.25">
      <c r="A184" s="238"/>
      <c r="B184" s="239"/>
      <c r="C184" s="239"/>
      <c r="D184" s="240"/>
      <c r="E184" s="240"/>
      <c r="F184" s="240"/>
      <c r="G184" s="240"/>
      <c r="H184" s="239"/>
    </row>
    <row r="185" spans="1:8" x14ac:dyDescent="0.25">
      <c r="A185" s="238"/>
      <c r="B185" s="239"/>
      <c r="C185" s="239"/>
      <c r="D185" s="240"/>
      <c r="E185" s="240"/>
      <c r="F185" s="240"/>
      <c r="G185" s="240"/>
      <c r="H185" s="239"/>
    </row>
    <row r="186" spans="1:8" x14ac:dyDescent="0.25">
      <c r="A186" s="238"/>
      <c r="B186" s="239"/>
      <c r="C186" s="239"/>
      <c r="D186" s="240"/>
      <c r="E186" s="240"/>
      <c r="F186" s="240"/>
      <c r="G186" s="240"/>
      <c r="H186" s="239"/>
    </row>
    <row r="187" spans="1:8" x14ac:dyDescent="0.25">
      <c r="A187" s="238"/>
      <c r="B187" s="239"/>
      <c r="C187" s="239"/>
      <c r="D187" s="240"/>
      <c r="E187" s="240"/>
      <c r="F187" s="240"/>
      <c r="G187" s="240"/>
      <c r="H187" s="239"/>
    </row>
    <row r="188" spans="1:8" x14ac:dyDescent="0.25">
      <c r="A188" s="238"/>
      <c r="B188" s="239"/>
      <c r="C188" s="239"/>
      <c r="D188" s="240"/>
      <c r="E188" s="240"/>
      <c r="F188" s="240"/>
      <c r="G188" s="240"/>
      <c r="H188" s="239"/>
    </row>
    <row r="189" spans="1:8" x14ac:dyDescent="0.25">
      <c r="A189" s="238"/>
      <c r="B189" s="239"/>
      <c r="C189" s="239"/>
      <c r="D189" s="240"/>
      <c r="E189" s="240"/>
      <c r="F189" s="240"/>
      <c r="G189" s="240"/>
      <c r="H189" s="239"/>
    </row>
    <row r="190" spans="1:8" x14ac:dyDescent="0.25">
      <c r="A190" s="238"/>
      <c r="B190" s="239"/>
      <c r="C190" s="239"/>
      <c r="D190" s="240"/>
      <c r="E190" s="240"/>
      <c r="F190" s="240"/>
      <c r="G190" s="240"/>
      <c r="H190" s="239"/>
    </row>
    <row r="191" spans="1:8" x14ac:dyDescent="0.25">
      <c r="A191" s="238"/>
      <c r="B191" s="239"/>
      <c r="C191" s="239"/>
      <c r="D191" s="240"/>
      <c r="E191" s="240"/>
      <c r="F191" s="240"/>
      <c r="G191" s="240"/>
      <c r="H191" s="239"/>
    </row>
    <row r="192" spans="1:8" x14ac:dyDescent="0.25">
      <c r="A192" s="238"/>
      <c r="B192" s="239"/>
      <c r="C192" s="239"/>
      <c r="D192" s="240"/>
      <c r="E192" s="240"/>
      <c r="F192" s="240"/>
      <c r="G192" s="240"/>
      <c r="H192" s="239"/>
    </row>
    <row r="193" spans="1:8" x14ac:dyDescent="0.25">
      <c r="A193" s="238"/>
      <c r="B193" s="239"/>
      <c r="C193" s="239"/>
      <c r="D193" s="240"/>
      <c r="E193" s="240"/>
      <c r="F193" s="240"/>
      <c r="G193" s="240"/>
      <c r="H193" s="239"/>
    </row>
    <row r="194" spans="1:8" x14ac:dyDescent="0.25">
      <c r="A194" s="238"/>
      <c r="B194" s="239"/>
      <c r="C194" s="239"/>
      <c r="D194" s="240"/>
      <c r="E194" s="240"/>
      <c r="F194" s="240"/>
      <c r="G194" s="240"/>
      <c r="H194" s="239"/>
    </row>
    <row r="195" spans="1:8" x14ac:dyDescent="0.25">
      <c r="A195" s="238"/>
      <c r="B195" s="239"/>
      <c r="C195" s="239"/>
      <c r="D195" s="240"/>
      <c r="E195" s="240"/>
      <c r="F195" s="240"/>
      <c r="G195" s="240"/>
      <c r="H195" s="239"/>
    </row>
    <row r="196" spans="1:8" x14ac:dyDescent="0.25">
      <c r="A196" s="238"/>
      <c r="B196" s="239"/>
      <c r="C196" s="239"/>
      <c r="D196" s="240"/>
      <c r="E196" s="240"/>
      <c r="F196" s="240"/>
      <c r="G196" s="240"/>
      <c r="H196" s="239"/>
    </row>
    <row r="197" spans="1:8" x14ac:dyDescent="0.25">
      <c r="A197" s="238"/>
      <c r="B197" s="239"/>
      <c r="C197" s="239"/>
      <c r="D197" s="240"/>
      <c r="E197" s="240"/>
      <c r="F197" s="240"/>
      <c r="G197" s="240"/>
      <c r="H197" s="239"/>
    </row>
    <row r="198" spans="1:8" x14ac:dyDescent="0.25">
      <c r="A198" s="238"/>
      <c r="B198" s="239"/>
      <c r="C198" s="239"/>
      <c r="D198" s="240"/>
      <c r="E198" s="240"/>
      <c r="F198" s="240"/>
      <c r="G198" s="240"/>
      <c r="H198" s="239"/>
    </row>
    <row r="199" spans="1:8" x14ac:dyDescent="0.25">
      <c r="A199" s="238"/>
      <c r="B199" s="239"/>
      <c r="C199" s="239"/>
      <c r="D199" s="240"/>
      <c r="E199" s="240"/>
      <c r="F199" s="240"/>
      <c r="G199" s="240"/>
      <c r="H199" s="239"/>
    </row>
    <row r="200" spans="1:8" x14ac:dyDescent="0.25">
      <c r="A200" s="238"/>
      <c r="B200" s="239"/>
      <c r="C200" s="239"/>
      <c r="D200" s="240"/>
      <c r="E200" s="240"/>
      <c r="F200" s="240"/>
      <c r="G200" s="240"/>
      <c r="H200" s="239"/>
    </row>
    <row r="201" spans="1:8" x14ac:dyDescent="0.25">
      <c r="A201" s="238"/>
      <c r="B201" s="239"/>
      <c r="C201" s="239"/>
      <c r="D201" s="240"/>
      <c r="E201" s="240"/>
      <c r="F201" s="240"/>
      <c r="G201" s="240"/>
      <c r="H201" s="239"/>
    </row>
    <row r="202" spans="1:8" x14ac:dyDescent="0.25">
      <c r="A202" s="238"/>
      <c r="B202" s="239"/>
      <c r="C202" s="239"/>
      <c r="D202" s="240"/>
      <c r="E202" s="240"/>
      <c r="F202" s="240"/>
      <c r="G202" s="240"/>
      <c r="H202" s="239"/>
    </row>
    <row r="203" spans="1:8" x14ac:dyDescent="0.25">
      <c r="A203" s="238"/>
      <c r="B203" s="239"/>
      <c r="C203" s="239"/>
      <c r="D203" s="240"/>
      <c r="E203" s="240"/>
      <c r="F203" s="240"/>
      <c r="G203" s="240"/>
      <c r="H203" s="239"/>
    </row>
    <row r="204" spans="1:8" x14ac:dyDescent="0.25">
      <c r="A204" s="238"/>
      <c r="B204" s="239"/>
      <c r="C204" s="239"/>
      <c r="D204" s="240"/>
      <c r="E204" s="240"/>
      <c r="F204" s="240"/>
      <c r="G204" s="240"/>
      <c r="H204" s="239"/>
    </row>
  </sheetData>
  <mergeCells count="1">
    <mergeCell ref="A2:H2"/>
  </mergeCells>
  <conditionalFormatting sqref="G5:G204">
    <cfRule type="expression" dxfId="3" priority="4" stopIfTrue="1">
      <formula>AND(G5&lt;&gt;"",G5&lt;&gt;"—")</formula>
    </cfRule>
  </conditionalFormatting>
  <conditionalFormatting sqref="H5:H204">
    <cfRule type="expression" dxfId="2" priority="1" stopIfTrue="1">
      <formula>H5="OK"</formula>
    </cfRule>
    <cfRule type="expression" dxfId="1" priority="2" stopIfTrue="1">
      <formula>H5="Question"</formula>
    </cfRule>
    <cfRule type="expression" dxfId="0" priority="3" stopIfTrue="1">
      <formula>H5="Revert"</formula>
    </cfRule>
  </conditionalFormatting>
  <dataValidations count="1">
    <dataValidation type="list" allowBlank="1" sqref="H5:H204" xr:uid="{00000000-0002-0000-0C00-000000000000}">
      <formula1>"OK,Question,Revert"</formula1>
    </dataValidation>
  </dataValidations>
  <hyperlinks>
    <hyperlink ref="H1" location="'Guide'!A1" display="← Guide"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A1:E34"/>
  <sheetViews>
    <sheetView showGridLines="0" workbookViewId="0">
      <pane ySplit="3" topLeftCell="A4" activePane="bottomLeft" state="frozen"/>
      <selection pane="bottomLeft" activeCell="H10" sqref="H10"/>
    </sheetView>
  </sheetViews>
  <sheetFormatPr defaultRowHeight="15" x14ac:dyDescent="0.25"/>
  <cols>
    <col min="1" max="1" width="7" customWidth="1"/>
    <col min="2" max="2" width="24" customWidth="1"/>
    <col min="3" max="3" width="26" customWidth="1"/>
    <col min="4" max="4" width="34" customWidth="1"/>
    <col min="5" max="5" width="120" customWidth="1"/>
  </cols>
  <sheetData>
    <row r="1" spans="1:5" ht="33.950000000000003" customHeight="1" x14ac:dyDescent="0.25">
      <c r="A1" s="234" t="s">
        <v>926</v>
      </c>
      <c r="B1" s="235"/>
      <c r="C1" s="235"/>
      <c r="D1" s="235"/>
      <c r="E1" s="236" t="s">
        <v>1</v>
      </c>
    </row>
    <row r="2" spans="1:5" ht="30" customHeight="1" x14ac:dyDescent="0.25">
      <c r="A2" s="320" t="s">
        <v>927</v>
      </c>
      <c r="B2" s="273"/>
      <c r="C2" s="273"/>
      <c r="D2" s="273"/>
      <c r="E2" s="273"/>
    </row>
    <row r="3" spans="1:5" ht="8.1" customHeight="1" x14ac:dyDescent="0.25"/>
    <row r="4" spans="1:5" ht="26.1" customHeight="1" x14ac:dyDescent="0.25">
      <c r="A4" s="318" t="s">
        <v>928</v>
      </c>
      <c r="B4" s="269"/>
      <c r="C4" s="269"/>
      <c r="D4" s="269"/>
      <c r="E4" s="269"/>
    </row>
    <row r="5" spans="1:5" ht="21" customHeight="1" x14ac:dyDescent="0.25">
      <c r="A5" s="241">
        <v>1</v>
      </c>
      <c r="B5" s="321" t="s">
        <v>929</v>
      </c>
      <c r="C5" s="285"/>
      <c r="D5" s="285"/>
      <c r="E5" s="280"/>
    </row>
    <row r="6" spans="1:5" ht="21" customHeight="1" x14ac:dyDescent="0.25">
      <c r="A6" s="241">
        <v>2</v>
      </c>
      <c r="B6" s="321" t="s">
        <v>930</v>
      </c>
      <c r="C6" s="285"/>
      <c r="D6" s="285"/>
      <c r="E6" s="280"/>
    </row>
    <row r="7" spans="1:5" ht="33.950000000000003" customHeight="1" x14ac:dyDescent="0.25">
      <c r="A7" s="241">
        <v>3</v>
      </c>
      <c r="B7" s="321" t="s">
        <v>931</v>
      </c>
      <c r="C7" s="285"/>
      <c r="D7" s="285"/>
      <c r="E7" s="280"/>
    </row>
    <row r="8" spans="1:5" ht="21" customHeight="1" x14ac:dyDescent="0.25">
      <c r="A8" s="241">
        <v>4</v>
      </c>
      <c r="B8" s="321" t="s">
        <v>932</v>
      </c>
      <c r="C8" s="285"/>
      <c r="D8" s="285"/>
      <c r="E8" s="280"/>
    </row>
    <row r="9" spans="1:5" ht="21" customHeight="1" x14ac:dyDescent="0.25">
      <c r="A9" s="241">
        <v>5</v>
      </c>
      <c r="B9" s="321" t="s">
        <v>933</v>
      </c>
      <c r="C9" s="285"/>
      <c r="D9" s="285"/>
      <c r="E9" s="280"/>
    </row>
    <row r="10" spans="1:5" ht="21" customHeight="1" x14ac:dyDescent="0.25">
      <c r="A10" s="241">
        <v>6</v>
      </c>
      <c r="B10" s="321" t="s">
        <v>934</v>
      </c>
      <c r="C10" s="285"/>
      <c r="D10" s="285"/>
      <c r="E10" s="280"/>
    </row>
    <row r="11" spans="1:5" ht="21" customHeight="1" x14ac:dyDescent="0.25">
      <c r="A11" s="241">
        <v>7</v>
      </c>
      <c r="B11" s="321" t="s">
        <v>935</v>
      </c>
      <c r="C11" s="285"/>
      <c r="D11" s="285"/>
      <c r="E11" s="280"/>
    </row>
    <row r="12" spans="1:5" ht="21" customHeight="1" x14ac:dyDescent="0.25">
      <c r="A12" s="241">
        <v>8</v>
      </c>
      <c r="B12" s="321" t="s">
        <v>936</v>
      </c>
      <c r="C12" s="285"/>
      <c r="D12" s="285"/>
      <c r="E12" s="280"/>
    </row>
    <row r="13" spans="1:5" ht="21" customHeight="1" x14ac:dyDescent="0.25">
      <c r="A13" s="241">
        <v>9</v>
      </c>
      <c r="B13" s="321" t="s">
        <v>937</v>
      </c>
      <c r="C13" s="285"/>
      <c r="D13" s="285"/>
      <c r="E13" s="280"/>
    </row>
    <row r="14" spans="1:5" ht="21" customHeight="1" x14ac:dyDescent="0.25">
      <c r="A14" s="241">
        <v>10</v>
      </c>
      <c r="B14" s="321" t="s">
        <v>938</v>
      </c>
      <c r="C14" s="285"/>
      <c r="D14" s="285"/>
      <c r="E14" s="280"/>
    </row>
    <row r="16" spans="1:5" ht="26.1" customHeight="1" x14ac:dyDescent="0.25">
      <c r="A16" s="318" t="s">
        <v>939</v>
      </c>
      <c r="B16" s="269"/>
      <c r="C16" s="269"/>
      <c r="D16" s="269"/>
      <c r="E16" s="269"/>
    </row>
    <row r="17" spans="1:5" ht="24" customHeight="1" x14ac:dyDescent="0.25">
      <c r="A17" s="237" t="s">
        <v>940</v>
      </c>
      <c r="B17" s="237" t="s">
        <v>941</v>
      </c>
      <c r="C17" s="237" t="s">
        <v>74</v>
      </c>
      <c r="D17" s="237" t="s">
        <v>942</v>
      </c>
      <c r="E17" s="237" t="s">
        <v>943</v>
      </c>
    </row>
    <row r="18" spans="1:5" ht="123.95" customHeight="1" x14ac:dyDescent="0.25">
      <c r="A18" s="242" t="s">
        <v>944</v>
      </c>
      <c r="B18" s="243" t="s">
        <v>945</v>
      </c>
      <c r="C18" s="244" t="s">
        <v>946</v>
      </c>
      <c r="D18" s="245" t="s">
        <v>947</v>
      </c>
      <c r="E18" s="246" t="s">
        <v>948</v>
      </c>
    </row>
    <row r="19" spans="1:5" ht="135.94999999999999" customHeight="1" x14ac:dyDescent="0.25">
      <c r="A19" s="247" t="s">
        <v>949</v>
      </c>
      <c r="B19" s="243" t="s">
        <v>950</v>
      </c>
      <c r="C19" s="244" t="s">
        <v>951</v>
      </c>
      <c r="D19" s="245" t="s">
        <v>952</v>
      </c>
      <c r="E19" s="246" t="s">
        <v>953</v>
      </c>
    </row>
    <row r="20" spans="1:5" ht="135.94999999999999" customHeight="1" x14ac:dyDescent="0.25">
      <c r="A20" s="247" t="s">
        <v>954</v>
      </c>
      <c r="B20" s="243" t="s">
        <v>955</v>
      </c>
      <c r="C20" s="244" t="s">
        <v>956</v>
      </c>
      <c r="D20" s="245" t="s">
        <v>957</v>
      </c>
      <c r="E20" s="246" t="s">
        <v>958</v>
      </c>
    </row>
    <row r="21" spans="1:5" ht="123.95" customHeight="1" x14ac:dyDescent="0.25">
      <c r="A21" s="247" t="s">
        <v>959</v>
      </c>
      <c r="B21" s="243" t="s">
        <v>960</v>
      </c>
      <c r="C21" s="244" t="s">
        <v>961</v>
      </c>
      <c r="D21" s="245" t="s">
        <v>962</v>
      </c>
      <c r="E21" s="246" t="s">
        <v>963</v>
      </c>
    </row>
    <row r="22" spans="1:5" ht="147.94999999999999" customHeight="1" x14ac:dyDescent="0.25">
      <c r="A22" s="247" t="s">
        <v>964</v>
      </c>
      <c r="B22" s="243" t="s">
        <v>965</v>
      </c>
      <c r="C22" s="244" t="s">
        <v>966</v>
      </c>
      <c r="D22" s="245" t="s">
        <v>967</v>
      </c>
      <c r="E22" s="246" t="s">
        <v>968</v>
      </c>
    </row>
    <row r="23" spans="1:5" ht="123.95" customHeight="1" x14ac:dyDescent="0.25">
      <c r="A23" s="247" t="s">
        <v>969</v>
      </c>
      <c r="B23" s="243" t="s">
        <v>970</v>
      </c>
      <c r="C23" s="244" t="s">
        <v>971</v>
      </c>
      <c r="D23" s="245" t="s">
        <v>972</v>
      </c>
      <c r="E23" s="246" t="s">
        <v>973</v>
      </c>
    </row>
    <row r="24" spans="1:5" ht="99.95" customHeight="1" x14ac:dyDescent="0.25">
      <c r="A24" s="247" t="s">
        <v>974</v>
      </c>
      <c r="B24" s="243" t="s">
        <v>975</v>
      </c>
      <c r="C24" s="244" t="s">
        <v>976</v>
      </c>
      <c r="D24" s="245" t="s">
        <v>977</v>
      </c>
      <c r="E24" s="246" t="s">
        <v>978</v>
      </c>
    </row>
    <row r="25" spans="1:5" ht="111.95" customHeight="1" x14ac:dyDescent="0.25">
      <c r="A25" s="247" t="s">
        <v>979</v>
      </c>
      <c r="B25" s="243" t="s">
        <v>980</v>
      </c>
      <c r="C25" s="244" t="s">
        <v>981</v>
      </c>
      <c r="D25" s="245" t="s">
        <v>982</v>
      </c>
      <c r="E25" s="246" t="s">
        <v>983</v>
      </c>
    </row>
    <row r="26" spans="1:5" ht="99.95" customHeight="1" x14ac:dyDescent="0.25">
      <c r="A26" s="247" t="s">
        <v>984</v>
      </c>
      <c r="B26" s="243" t="s">
        <v>985</v>
      </c>
      <c r="C26" s="244" t="s">
        <v>986</v>
      </c>
      <c r="D26" s="245" t="s">
        <v>987</v>
      </c>
      <c r="E26" s="246" t="s">
        <v>988</v>
      </c>
    </row>
    <row r="27" spans="1:5" ht="75.95" customHeight="1" x14ac:dyDescent="0.25">
      <c r="A27" s="247" t="s">
        <v>989</v>
      </c>
      <c r="B27" s="243" t="s">
        <v>990</v>
      </c>
      <c r="C27" s="244" t="s">
        <v>991</v>
      </c>
      <c r="D27" s="245" t="s">
        <v>992</v>
      </c>
      <c r="E27" s="246" t="s">
        <v>993</v>
      </c>
    </row>
    <row r="29" spans="1:5" ht="26.1" customHeight="1" x14ac:dyDescent="0.25">
      <c r="A29" s="318" t="s">
        <v>994</v>
      </c>
      <c r="B29" s="269"/>
      <c r="C29" s="269"/>
      <c r="D29" s="269"/>
      <c r="E29" s="269"/>
    </row>
    <row r="30" spans="1:5" ht="20.100000000000001" customHeight="1" x14ac:dyDescent="0.25">
      <c r="B30" s="322" t="s">
        <v>995</v>
      </c>
      <c r="C30" s="273"/>
      <c r="D30" s="273"/>
      <c r="E30" s="273"/>
    </row>
    <row r="31" spans="1:5" ht="20.100000000000001" customHeight="1" x14ac:dyDescent="0.25">
      <c r="B31" s="322" t="s">
        <v>996</v>
      </c>
      <c r="C31" s="273"/>
      <c r="D31" s="273"/>
      <c r="E31" s="273"/>
    </row>
    <row r="32" spans="1:5" ht="20.100000000000001" customHeight="1" x14ac:dyDescent="0.25">
      <c r="B32" s="322" t="s">
        <v>997</v>
      </c>
      <c r="C32" s="273"/>
      <c r="D32" s="273"/>
      <c r="E32" s="273"/>
    </row>
    <row r="33" spans="2:5" ht="20.100000000000001" customHeight="1" x14ac:dyDescent="0.25">
      <c r="B33" s="322" t="s">
        <v>998</v>
      </c>
      <c r="C33" s="273"/>
      <c r="D33" s="273"/>
      <c r="E33" s="273"/>
    </row>
    <row r="34" spans="2:5" ht="20.100000000000001" customHeight="1" x14ac:dyDescent="0.25">
      <c r="B34" s="322" t="s">
        <v>999</v>
      </c>
      <c r="C34" s="273"/>
      <c r="D34" s="273"/>
      <c r="E34" s="273"/>
    </row>
  </sheetData>
  <mergeCells count="19">
    <mergeCell ref="B34:E34"/>
    <mergeCell ref="B10:E10"/>
    <mergeCell ref="A2:E2"/>
    <mergeCell ref="B12:E12"/>
    <mergeCell ref="B11:E11"/>
    <mergeCell ref="B14:E14"/>
    <mergeCell ref="A29:E29"/>
    <mergeCell ref="A4:E4"/>
    <mergeCell ref="B8:E8"/>
    <mergeCell ref="B13:E13"/>
    <mergeCell ref="B9:E9"/>
    <mergeCell ref="B6:E6"/>
    <mergeCell ref="B30:E30"/>
    <mergeCell ref="B33:E33"/>
    <mergeCell ref="B5:E5"/>
    <mergeCell ref="B32:E32"/>
    <mergeCell ref="A16:E16"/>
    <mergeCell ref="B7:E7"/>
    <mergeCell ref="B31:E31"/>
  </mergeCells>
  <hyperlinks>
    <hyperlink ref="E1" location="'Guide'!A1" display="← Guide" xr:uid="{00000000-0004-0000-0D00-000000000000}"/>
  </hyperlink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Guide</vt:lpstr>
      <vt:lpstr>Calendar</vt:lpstr>
      <vt:lpstr>Bias</vt:lpstr>
      <vt:lpstr>Bias Builder</vt:lpstr>
      <vt:lpstr>Compare</vt:lpstr>
      <vt:lpstr>Events</vt:lpstr>
      <vt:lpstr>Scorecard</vt:lpstr>
      <vt:lpstr>Risk &amp; Gold</vt:lpstr>
      <vt:lpstr>Key Levels</vt:lpstr>
      <vt:lpstr>Journal</vt:lpstr>
      <vt:lpstr>Hub</vt:lpstr>
      <vt:lpstr>Sources</vt:lpstr>
      <vt:lpstr>Update Log</vt:lpstr>
      <vt:lpstr>Prompts</vt:lpstr>
      <vt:lpstr>Bias!Print_Titles</vt:lpstr>
      <vt:lpstr>Compare!Print_Titles</vt:lpstr>
      <vt:lpstr>Guide!Print_Titles</vt:lpstr>
      <vt:lpstr>Hub!Print_Titles</vt:lpstr>
      <vt:lpstr>Journal!Print_Titles</vt:lpstr>
      <vt:lpstr>'Key Levels'!Print_Titles</vt:lpstr>
      <vt:lpstr>'Risk &amp; Gold'!Print_Titles</vt:lpstr>
      <vt:lpstr>Scorecard!Print_Titles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Vuillemin</cp:lastModifiedBy>
  <cp:revision>0</cp:revision>
  <dcterms:created xsi:type="dcterms:W3CDTF">2026-09-19T18:28:25Z</dcterms:created>
  <dcterms:modified xsi:type="dcterms:W3CDTF">2026-10-15T12:07:34Z</dcterms:modified>
  <dc:language>en-US</dc:language>
</cp:coreProperties>
</file>