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1bd21a83edf255/Desktop/Trading System/"/>
    </mc:Choice>
  </mc:AlternateContent>
  <xr:revisionPtr revIDLastSave="0" documentId="11_A3717D2F6F9E92686565DC42EDC6E79F1A00B777" xr6:coauthVersionLast="47" xr6:coauthVersionMax="47" xr10:uidLastSave="{00000000-0000-0000-0000-000000000000}"/>
  <bookViews>
    <workbookView xWindow="-38520" yWindow="-7095" windowWidth="38640" windowHeight="21120" tabRatio="500" activeTab="7" xr2:uid="{00000000-000D-0000-FFFF-FFFF00000000}"/>
  </bookViews>
  <sheets>
    <sheet name="Start Here" sheetId="1" r:id="rId1"/>
    <sheet name="Bias" sheetId="2" r:id="rId2"/>
    <sheet name="Compare" sheetId="3" r:id="rId3"/>
    <sheet name="Scorecard" sheetId="4" r:id="rId4"/>
    <sheet name="Risk &amp; Gold" sheetId="5" r:id="rId5"/>
    <sheet name="Key Levels" sheetId="6" r:id="rId6"/>
    <sheet name="Journal" sheetId="7" r:id="rId7"/>
    <sheet name="Hub" sheetId="8" r:id="rId8"/>
  </sheets>
  <definedNames>
    <definedName name="_xlnm._FilterDatabase" localSheetId="5" hidden="1">'Key Levels'!$A$12:$L$52</definedName>
    <definedName name="_xlnm.Print_Titles" localSheetId="1">Bias!$1:$2</definedName>
    <definedName name="_xlnm.Print_Titles" localSheetId="2">Compare!$1:$2</definedName>
    <definedName name="_xlnm.Print_Titles" localSheetId="7">Hub!$1:$2</definedName>
    <definedName name="_xlnm.Print_Titles" localSheetId="6">Journal!$1:$2</definedName>
    <definedName name="_xlnm.Print_Titles" localSheetId="5">'Key Levels'!$1:$2</definedName>
    <definedName name="_xlnm.Print_Titles" localSheetId="4">'Risk &amp; Gold'!$1:$2</definedName>
    <definedName name="_xlnm.Print_Titles" localSheetId="3">Scorecard!$1:$2</definedName>
    <definedName name="_xlnm.Print_Titles" localSheetId="0">'Start Here'!$1:$2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8" l="1"/>
  <c r="B33" i="8"/>
  <c r="E13" i="8"/>
  <c r="E12" i="8"/>
  <c r="E11" i="8"/>
  <c r="E10" i="8"/>
  <c r="E9" i="8"/>
  <c r="E8" i="8"/>
  <c r="E7" i="8"/>
  <c r="E6" i="8"/>
  <c r="K52" i="6"/>
  <c r="L52" i="6" s="1"/>
  <c r="K51" i="6"/>
  <c r="L51" i="6" s="1"/>
  <c r="L50" i="6"/>
  <c r="K50" i="6"/>
  <c r="K49" i="6"/>
  <c r="L49" i="6" s="1"/>
  <c r="K48" i="6"/>
  <c r="L48" i="6" s="1"/>
  <c r="K47" i="6"/>
  <c r="L47" i="6" s="1"/>
  <c r="L46" i="6"/>
  <c r="K46" i="6"/>
  <c r="K45" i="6"/>
  <c r="L45" i="6" s="1"/>
  <c r="K44" i="6"/>
  <c r="L44" i="6" s="1"/>
  <c r="K43" i="6"/>
  <c r="L43" i="6" s="1"/>
  <c r="L42" i="6"/>
  <c r="K42" i="6"/>
  <c r="K41" i="6"/>
  <c r="L41" i="6" s="1"/>
  <c r="K40" i="6"/>
  <c r="L40" i="6" s="1"/>
  <c r="K39" i="6"/>
  <c r="L39" i="6" s="1"/>
  <c r="L38" i="6"/>
  <c r="K38" i="6"/>
  <c r="K37" i="6"/>
  <c r="L37" i="6" s="1"/>
  <c r="K36" i="6"/>
  <c r="L36" i="6" s="1"/>
  <c r="K35" i="6"/>
  <c r="L35" i="6" s="1"/>
  <c r="L34" i="6"/>
  <c r="K34" i="6"/>
  <c r="K33" i="6"/>
  <c r="L33" i="6" s="1"/>
  <c r="K32" i="6"/>
  <c r="L32" i="6" s="1"/>
  <c r="K31" i="6"/>
  <c r="L31" i="6" s="1"/>
  <c r="L30" i="6"/>
  <c r="K30" i="6"/>
  <c r="K29" i="6"/>
  <c r="L29" i="6" s="1"/>
  <c r="K28" i="6"/>
  <c r="L28" i="6" s="1"/>
  <c r="K27" i="6"/>
  <c r="L27" i="6" s="1"/>
  <c r="L26" i="6"/>
  <c r="K26" i="6"/>
  <c r="K25" i="6"/>
  <c r="L25" i="6" s="1"/>
  <c r="K24" i="6"/>
  <c r="L24" i="6" s="1"/>
  <c r="K23" i="6"/>
  <c r="L23" i="6" s="1"/>
  <c r="K22" i="6"/>
  <c r="L22" i="6" s="1"/>
  <c r="K21" i="6"/>
  <c r="L21" i="6" s="1"/>
  <c r="K20" i="6"/>
  <c r="L20" i="6" s="1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L13" i="6" s="1"/>
  <c r="E16" i="5"/>
  <c r="D14" i="5"/>
  <c r="E14" i="5" s="1"/>
  <c r="D13" i="5"/>
  <c r="E13" i="5" s="1"/>
  <c r="B8" i="5"/>
  <c r="B15" i="5" s="1"/>
  <c r="E15" i="5" s="1"/>
  <c r="Q12" i="4"/>
  <c r="R12" i="4" s="1"/>
  <c r="P12" i="4"/>
  <c r="O12" i="4"/>
  <c r="N12" i="4"/>
  <c r="M12" i="4"/>
  <c r="P11" i="4"/>
  <c r="O11" i="4"/>
  <c r="Q11" i="4" s="1"/>
  <c r="R11" i="4" s="1"/>
  <c r="N11" i="4"/>
  <c r="M11" i="4"/>
  <c r="P10" i="4"/>
  <c r="O10" i="4"/>
  <c r="N10" i="4"/>
  <c r="M10" i="4"/>
  <c r="Q10" i="4" s="1"/>
  <c r="R10" i="4" s="1"/>
  <c r="P9" i="4"/>
  <c r="O9" i="4"/>
  <c r="N9" i="4"/>
  <c r="M9" i="4"/>
  <c r="Q9" i="4" s="1"/>
  <c r="R9" i="4" s="1"/>
  <c r="Q8" i="4"/>
  <c r="E7" i="2" s="1"/>
  <c r="P8" i="4"/>
  <c r="O8" i="4"/>
  <c r="N8" i="4"/>
  <c r="M8" i="4"/>
  <c r="P7" i="4"/>
  <c r="O7" i="4"/>
  <c r="Q7" i="4" s="1"/>
  <c r="N7" i="4"/>
  <c r="M7" i="4"/>
  <c r="P6" i="4"/>
  <c r="O6" i="4"/>
  <c r="N6" i="4"/>
  <c r="M6" i="4"/>
  <c r="Q6" i="4" s="1"/>
  <c r="P5" i="4"/>
  <c r="O5" i="4"/>
  <c r="B7" i="3" s="1"/>
  <c r="F7" i="3" s="1"/>
  <c r="N5" i="4"/>
  <c r="B6" i="3" s="1"/>
  <c r="F6" i="3" s="1"/>
  <c r="M5" i="4"/>
  <c r="B5" i="3" s="1"/>
  <c r="F5" i="3" s="1"/>
  <c r="F11" i="3"/>
  <c r="D11" i="3" s="1"/>
  <c r="E11" i="3"/>
  <c r="B11" i="3"/>
  <c r="E10" i="3"/>
  <c r="F10" i="3" s="1"/>
  <c r="B10" i="3"/>
  <c r="E9" i="3"/>
  <c r="F9" i="3" s="1"/>
  <c r="B9" i="3"/>
  <c r="E8" i="3"/>
  <c r="F8" i="3" s="1"/>
  <c r="B8" i="3"/>
  <c r="E7" i="3"/>
  <c r="L6" i="3"/>
  <c r="L8" i="3" s="1"/>
  <c r="E6" i="3"/>
  <c r="E5" i="3"/>
  <c r="E4" i="3"/>
  <c r="B4" i="3"/>
  <c r="O8" i="2"/>
  <c r="P8" i="2" s="1"/>
  <c r="P7" i="2"/>
  <c r="O7" i="2"/>
  <c r="I7" i="2"/>
  <c r="H7" i="2"/>
  <c r="G7" i="2"/>
  <c r="P6" i="2"/>
  <c r="O6" i="2"/>
  <c r="H6" i="2"/>
  <c r="G6" i="2"/>
  <c r="I6" i="2" s="1"/>
  <c r="O5" i="2"/>
  <c r="P5" i="2" s="1"/>
  <c r="I5" i="2"/>
  <c r="H5" i="2"/>
  <c r="G5" i="2"/>
  <c r="D8" i="3" l="1"/>
  <c r="C8" i="3"/>
  <c r="G8" i="3"/>
  <c r="D6" i="3"/>
  <c r="C6" i="3"/>
  <c r="G6" i="3"/>
  <c r="D9" i="3"/>
  <c r="C9" i="3"/>
  <c r="G9" i="3"/>
  <c r="D6" i="2"/>
  <c r="E12" i="3"/>
  <c r="R7" i="4"/>
  <c r="E17" i="5"/>
  <c r="D10" i="3"/>
  <c r="C10" i="3"/>
  <c r="G10" i="3"/>
  <c r="R6" i="4"/>
  <c r="D5" i="2"/>
  <c r="C5" i="3"/>
  <c r="B19" i="3"/>
  <c r="D5" i="3"/>
  <c r="G5" i="3"/>
  <c r="B18" i="3"/>
  <c r="D7" i="3"/>
  <c r="C7" i="3"/>
  <c r="G7" i="3"/>
  <c r="Q5" i="4"/>
  <c r="C34" i="8"/>
  <c r="C35" i="8" s="1"/>
  <c r="G11" i="3"/>
  <c r="R8" i="4"/>
  <c r="C11" i="3"/>
  <c r="R5" i="4" l="1"/>
  <c r="E5" i="2"/>
  <c r="F5" i="2" s="1"/>
  <c r="L7" i="3"/>
  <c r="L9" i="3" s="1"/>
  <c r="H11" i="3" s="1"/>
  <c r="B12" i="3"/>
  <c r="F12" i="3" s="1"/>
  <c r="D7" i="2"/>
  <c r="F7" i="2" s="1"/>
  <c r="E6" i="2"/>
  <c r="F8" i="2"/>
  <c r="B18" i="5"/>
  <c r="F6" i="2"/>
  <c r="B16" i="3"/>
  <c r="J5" i="2" l="1"/>
  <c r="H6" i="3"/>
  <c r="J7" i="2"/>
  <c r="H5" i="3"/>
  <c r="B17" i="3"/>
  <c r="J6" i="2"/>
  <c r="M8" i="2"/>
  <c r="J8" i="2"/>
  <c r="H10" i="3"/>
  <c r="H9" i="3"/>
  <c r="H7" i="3"/>
  <c r="H8" i="3"/>
  <c r="K6" i="2" l="1"/>
  <c r="L6" i="2"/>
  <c r="K7" i="2"/>
  <c r="L7" i="2"/>
  <c r="K5" i="2"/>
  <c r="L5" i="2"/>
  <c r="M5" i="2" s="1"/>
  <c r="M7" i="2" l="1"/>
  <c r="M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Example uses =TODAY()-2. Overwrite with the actual date you reviewed.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4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+1 above target &amp; not falling · −1 falling &amp; near/below target · 0 otherwise</t>
        </r>
      </text>
    </comment>
    <comment ref="P4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The 1-month move in the 2Y yield is used as a free proxy for how the market is repricing the central bank.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Approximate mid-September 2026 level (CNBC / Trading Economics). Update before use.</t>
        </r>
      </text>
    </comment>
    <comment ref="B7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Approx. XAU/USD on 18 Sep 2026: Dec futures traded ~4,420 (Yahoo Finance); spot slightly lower. Update before use.</t>
        </r>
      </text>
    </comment>
  </commentList>
</comments>
</file>

<file path=xl/sharedStrings.xml><?xml version="1.0" encoding="utf-8"?>
<sst xmlns="http://schemas.openxmlformats.org/spreadsheetml/2006/main" count="540" uniqueCount="421">
  <si>
    <t>Macro Tracker — Layer 1 (Macro Permission)</t>
  </si>
  <si>
    <t>Purpose: one weekly bias per instrument — LONG / SHORT / FLAT — with an expiry date. This is a filter, never an entry signal.</t>
  </si>
  <si>
    <t>WEEKLY ROUTINE</t>
  </si>
  <si>
    <t>SHEET INDEX</t>
  </si>
  <si>
    <t>1. Scorecard: update the blue cells for USD, EUR, GBP, JPY (only what changed since last week).</t>
  </si>
  <si>
    <t>Sheet (click to open)</t>
  </si>
  <si>
    <t>What it's for</t>
  </si>
  <si>
    <t>When</t>
  </si>
  <si>
    <t>2. Risk &amp; Gold: update VIX, S&amp;P 500 vs 200-day, real yield, dollar index, and your own gold research score.</t>
  </si>
  <si>
    <t>Bias  ↗</t>
  </si>
  <si>
    <t>FINAL BIAS per pair — what Layers 2–4 may trade</t>
  </si>
  <si>
    <t>Read weekly</t>
  </si>
  <si>
    <t>3. Bias: read the FINAL BIAS column. Enter today's date in 'Last reviewed' and write the invalidation.</t>
  </si>
  <si>
    <t>Compare  ↗</t>
  </si>
  <si>
    <t>Two currencies side by side — does the evidence back the call?</t>
  </si>
  <si>
    <t>Before a new idea</t>
  </si>
  <si>
    <t>4. Journal: log one line per instrument — bias, key driver, next catalyst.</t>
  </si>
  <si>
    <t>Scorecard  ↗</t>
  </si>
  <si>
    <t>Macro data per currency → −1/0/+1 scores and stance</t>
  </si>
  <si>
    <t>Fill weekly</t>
  </si>
  <si>
    <t>4b. Hub: fill the risk barometer, refresh the one-line story for each currency you trade, glance at section B once a month.</t>
  </si>
  <si>
    <t>Risk &amp; Gold  ↗</t>
  </si>
  <si>
    <t>VIX risk regime + gold drivers → gold bias</t>
  </si>
  <si>
    <t>5. After tier-1 events (CPI, jobs, central-bank meetings): re-check only the affected currency.</t>
  </si>
  <si>
    <t>Key Levels  ↗</t>
  </si>
  <si>
    <t>Price levels where big players acted, with distance to price</t>
  </si>
  <si>
    <t>Hub  ↗</t>
  </si>
  <si>
    <t>Links out + one-line story per currency, risk barometer</t>
  </si>
  <si>
    <t>Fill weekly / monthly</t>
  </si>
  <si>
    <t>UNITS &amp; CONVENTIONS</t>
  </si>
  <si>
    <t>Journal  ↗</t>
  </si>
  <si>
    <t>One row per bias — becomes your tuning data</t>
  </si>
  <si>
    <t>Log weekly</t>
  </si>
  <si>
    <t>•  Percentages are typed as plain numbers: 3.1 means 3.1%.</t>
  </si>
  <si>
    <t>•  Yield changes are in basis points (bp): 100 bp = 1 percentage point.</t>
  </si>
  <si>
    <t>COLOUR LEGEND</t>
  </si>
  <si>
    <t>•  Text that starts with 'EXAMPLE:' is illustrative — overwrite it with your own read.</t>
  </si>
  <si>
    <t>CELL TYPES — what you may touch</t>
  </si>
  <si>
    <t>•  Dates: type them as dates (e.g. 21-9-2026), never as a formula like =TODAY().</t>
  </si>
  <si>
    <t>3.10</t>
  </si>
  <si>
    <t>Input — type here</t>
  </si>
  <si>
    <t>Every sheet</t>
  </si>
  <si>
    <t>1</t>
  </si>
  <si>
    <t>Formula — calculated, don't overwrite</t>
  </si>
  <si>
    <t>RULES / THRESHOLDS (every formula reads from here)</t>
  </si>
  <si>
    <t>-1</t>
  </si>
  <si>
    <t>Linked — pulled from another sheet</t>
  </si>
  <si>
    <t>Bias, Compare, Risk &amp; Gold, Hub</t>
  </si>
  <si>
    <t>Rule</t>
  </si>
  <si>
    <t>Value</t>
  </si>
  <si>
    <t>What it does</t>
  </si>
  <si>
    <t>Column header</t>
  </si>
  <si>
    <t>Table header</t>
  </si>
  <si>
    <t>Inflation 'near target' band (pp)</t>
  </si>
  <si>
    <t>Core CPI falling AND within this distance of target (or below) = −1. Above target and not falling = +1.</t>
  </si>
  <si>
    <t>Fed ↗</t>
  </si>
  <si>
    <t>Hyperlink — opens a website or sheet</t>
  </si>
  <si>
    <t>Hub, this sheet</t>
  </si>
  <si>
    <t>Unemployment change (pp)</t>
  </si>
  <si>
    <t>Unemployment down ≥ this over 3 months = +1 (tight). Up ≥ this = −1 (weakening).</t>
  </si>
  <si>
    <t>Help text</t>
  </si>
  <si>
    <t>Note / explanation — read only</t>
  </si>
  <si>
    <t>PMI expansion level</t>
  </si>
  <si>
    <t>Composite PMI ≥ this = +1.</t>
  </si>
  <si>
    <t>⚠ Warning</t>
  </si>
  <si>
    <t>Warning — check before relying on it</t>
  </si>
  <si>
    <t>Scorecard, Key Levels</t>
  </si>
  <si>
    <t>PMI contraction level</t>
  </si>
  <si>
    <t>Composite PMI ≤ this = −1.</t>
  </si>
  <si>
    <t>—</t>
  </si>
  <si>
    <t>Not applicable for this row</t>
  </si>
  <si>
    <t>Bias (gold row)</t>
  </si>
  <si>
    <t>2Y yield move (bp, 1 month)</t>
  </si>
  <si>
    <t>Market repricing proxy. 2Y up ≥ this = +1 (hawkish repricing), down ≥ this = −1.</t>
  </si>
  <si>
    <t>Give me a brief…</t>
  </si>
  <si>
    <t>Prompt — copy and paste into Claude</t>
  </si>
  <si>
    <t>Hub</t>
  </si>
  <si>
    <t>Currency stance cut-off (score)</t>
  </si>
  <si>
    <t>Total ≥ +2 = HAWKISH, ≤ −2 = DOVISH, otherwise NEUTRAL.</t>
  </si>
  <si>
    <t>SIGNALS — colour changes by itself</t>
  </si>
  <si>
    <t>Pair score difference needed</t>
  </si>
  <si>
    <t>Base score minus quote score must be ≥ this for a LONG signal (≤ −this for SHORT).</t>
  </si>
  <si>
    <t>LONG</t>
  </si>
  <si>
    <t>Long / hawkish / supportive: LONG · HAWKISH · RISK-ON · ACTIVE · OK · BACKS THE CALL · STRONG · YES</t>
  </si>
  <si>
    <t>Bias, Compare, Scorecard, Risk &amp; Gold, Hub, Journal</t>
  </si>
  <si>
    <t>2Y differential confirmation (bp)</t>
  </si>
  <si>
    <t>The 2Y yield spread must have moved ≥ this in the same direction over 1 month, otherwise FLAT.</t>
  </si>
  <si>
    <t>SHORT</t>
  </si>
  <si>
    <t>Short / dovish / against: SHORT · DOVISH · RISK-OFF · EXPIRED · STALE · AGAINST · WEAK · NO</t>
  </si>
  <si>
    <t>VIX calm level</t>
  </si>
  <si>
    <t>From investing Layer 3: VIX below this (and S&amp;P above 200-day) = RISK-ON.</t>
  </si>
  <si>
    <t>NOT REVIEWED</t>
  </si>
  <si>
    <t>Needs attention: ENTER DATA · NOT REVIEWED · NOT CHECKED · CAUTION · MIXED · PARTLY · MODERATE · NEAR · yields NO</t>
  </si>
  <si>
    <t>Every sheet except Start Here</t>
  </si>
  <si>
    <t>VIX stress level</t>
  </si>
  <si>
    <t>From investing Layer 3: VIX above this = RISK-OFF.</t>
  </si>
  <si>
    <t>FLAT</t>
  </si>
  <si>
    <t>No edge — stand aside: FLAT · NEUTRAL</t>
  </si>
  <si>
    <t>Real-yield move for gold (bp)</t>
  </si>
  <si>
    <t>US 10Y real yield down ≥ this over 1 month = +1 for gold; up ≥ this = −1.</t>
  </si>
  <si>
    <t>+1</t>
  </si>
  <si>
    <t>Score above zero (green) — supports the currency / gold</t>
  </si>
  <si>
    <t>Scorecard, Risk &amp; Gold</t>
  </si>
  <si>
    <t>Dollar move for gold (%)</t>
  </si>
  <si>
    <t>Dollar index down ≥ this % over 1 month = +1 for gold; up ≥ this = −1.</t>
  </si>
  <si>
    <t>−1</t>
  </si>
  <si>
    <t>Score below zero (red) — works against it</t>
  </si>
  <si>
    <t>Gold score cut-off</t>
  </si>
  <si>
    <t>Gold total ≥ +2 = LONG, ≤ −2 = SHORT.</t>
  </si>
  <si>
    <t>■■■</t>
  </si>
  <si>
    <t>Bar: green = base currency wins this factor</t>
  </si>
  <si>
    <t>Compare</t>
  </si>
  <si>
    <t>Key level 'near' distance (%)</t>
  </si>
  <si>
    <t>Key Levels flags a level as NEAR when price is within this % of it.</t>
  </si>
  <si>
    <t>Bar: red = quote currency wins this factor</t>
  </si>
  <si>
    <t>Bias valid for (days)</t>
  </si>
  <si>
    <t>After this many days without review the bias shows EXPIRED — treat as FLAT.</t>
  </si>
  <si>
    <t>KEY LEVEL TYPES</t>
  </si>
  <si>
    <t>Starting thresholds are Claude's suggestions, not tested values — tune them after journaling a few months.</t>
  </si>
  <si>
    <t>Policy line</t>
  </si>
  <si>
    <t>Government / central bank acted here</t>
  </si>
  <si>
    <t>Key Levels</t>
  </si>
  <si>
    <t>Options / GEX</t>
  </si>
  <si>
    <t>Big option strikes or expiries</t>
  </si>
  <si>
    <t>FREE DATA SOURCES</t>
  </si>
  <si>
    <t>Structural</t>
  </si>
  <si>
    <t>Prior highs &amp; lows, round numbers</t>
  </si>
  <si>
    <t>US data (CPI, unemployment, 2Y, real yield, VIX, dollar)</t>
  </si>
  <si>
    <t>FRED (fred.stlouisfed.org): CPILFESL (core CPI, 'percent change from year ago'), UNRATE, DGS2, DFII10 (10Y real), VIXCLS, DTWEXBGS (broad dollar)</t>
  </si>
  <si>
    <t>Session</t>
  </si>
  <si>
    <t>Intraday: PDH/PDL, session ranges</t>
  </si>
  <si>
    <t>EUR / GBP / JPY data</t>
  </si>
  <si>
    <t>tradingeconomics.com or investing.com economic calendar (core CPI, unemployment, composite PMI)</t>
  </si>
  <si>
    <t>3</t>
  </si>
  <si>
    <t>Strength 3 = strongest level (bold red)</t>
  </si>
  <si>
    <t>2Y government yields (all)</t>
  </si>
  <si>
    <t>investing.com → Bonds → country 2-year</t>
  </si>
  <si>
    <t>SHEET TABS</t>
  </si>
  <si>
    <t>S&amp;P 500 and 200-day average</t>
  </si>
  <si>
    <t>TradingView chart (add 200 SMA)</t>
  </si>
  <si>
    <t>Navy tab</t>
  </si>
  <si>
    <t>Start here — guide, rules, legend</t>
  </si>
  <si>
    <t>Start Here</t>
  </si>
  <si>
    <t>Central-bank dates</t>
  </si>
  <si>
    <t>Each central bank's website (Fed, ECB, BoE, BoJ)</t>
  </si>
  <si>
    <t>Green tab</t>
  </si>
  <si>
    <t>Read — decisions come out here</t>
  </si>
  <si>
    <t>Bias, Compare</t>
  </si>
  <si>
    <t>Blue tab</t>
  </si>
  <si>
    <t>Fill in — your weekly inputs</t>
  </si>
  <si>
    <t>Scorecard, Risk &amp; Gold, Key Levels, Hub, Journal</t>
  </si>
  <si>
    <t>Bias Board — Layer 1 permission</t>
  </si>
  <si>
    <t>← Start Here</t>
  </si>
  <si>
    <t>FINAL BIAS = what Layers 2–4 are allowed to trade. FLAT or EXPIRED = no macro permission.</t>
  </si>
  <si>
    <t>Pair</t>
  </si>
  <si>
    <t>Base</t>
  </si>
  <si>
    <t>Quote</t>
  </si>
  <si>
    <t>Base score</t>
  </si>
  <si>
    <t>Quote score</t>
  </si>
  <si>
    <t>Score diff</t>
  </si>
  <si>
    <t>2Y spread now (bp)</t>
  </si>
  <si>
    <t>2Y spread 1M ago (bp)</t>
  </si>
  <si>
    <t>Δ 2Y spread (bp)</t>
  </si>
  <si>
    <t>Macro signal</t>
  </si>
  <si>
    <t>Yields confirm?</t>
  </si>
  <si>
    <t>Risk override</t>
  </si>
  <si>
    <t>FINAL BIAS</t>
  </si>
  <si>
    <t>Last reviewed</t>
  </si>
  <si>
    <t>Valid until</t>
  </si>
  <si>
    <t>Status</t>
  </si>
  <si>
    <t>Invalidation — what would flip it?</t>
  </si>
  <si>
    <t>EURUSD</t>
  </si>
  <si>
    <t>EUR</t>
  </si>
  <si>
    <t>USD</t>
  </si>
  <si>
    <t>EXAMPLE: FLAT until USD–EUR score gap reaches 2 and the 2Y spread confirms</t>
  </si>
  <si>
    <t>GBPUSD</t>
  </si>
  <si>
    <t>GBP</t>
  </si>
  <si>
    <t>USDJPY</t>
  </si>
  <si>
    <t>JPY</t>
  </si>
  <si>
    <t>XAUUSD</t>
  </si>
  <si>
    <t>XAU</t>
  </si>
  <si>
    <t>Turns LONG if real yields fall ≥15 bp or dollar drops ≥1% (research stays +1). Turns SHORT if dollar rises ≥1% AND research drops to 0.</t>
  </si>
  <si>
    <t>HOW FINAL BIAS IS DECIDED</t>
  </si>
  <si>
    <t>1.  Score diff (base − quote) ≥ +2 → LONG signal, ≤ −2 → SHORT signal, else FLAT.</t>
  </si>
  <si>
    <t>2.  The 2Y yield spread must have moved the same way over the last month (≥ 10 bp), otherwise FLAT — the market has to confirm your thesis.</t>
  </si>
  <si>
    <t>3.  In RISK-OFF, any trade against JPY is overridden to FLAT.</t>
  </si>
  <si>
    <t>4.  Gold comes from the Risk &amp; Gold sheet.</t>
  </si>
  <si>
    <t>5.  Unreviewed for 7+ days = EXPIRED = treat as FLAT.</t>
  </si>
  <si>
    <t>Pair Compare — side by side</t>
  </si>
  <si>
    <t>Pick any two currencies from the Scorecard. Every factor shows who wins and whether it backs the call.</t>
  </si>
  <si>
    <t>PICK THE PAIR</t>
  </si>
  <si>
    <t>Factor</t>
  </si>
  <si>
    <t>◀ base</t>
  </si>
  <si>
    <t>quote ▶</t>
  </si>
  <si>
    <t>Gap (base − quote)</t>
  </si>
  <si>
    <t>Winner</t>
  </si>
  <si>
    <t>Backs the call?</t>
  </si>
  <si>
    <t>What it measures</t>
  </si>
  <si>
    <t>Base currency</t>
  </si>
  <si>
    <t>Inflation score (−1…+1)</t>
  </si>
  <si>
    <t>Core CPI vs target and direction</t>
  </si>
  <si>
    <t>Quote currency</t>
  </si>
  <si>
    <t>Labour score (−1…+1)</t>
  </si>
  <si>
    <t>3-month change in unemployment</t>
  </si>
  <si>
    <t>Growth score (−1…+1)</t>
  </si>
  <si>
    <t>Composite PMI</t>
  </si>
  <si>
    <t>Direction from scores</t>
  </si>
  <si>
    <t>Pricing score (−1…+1)</t>
  </si>
  <si>
    <t>1-month move in 2Y yield = market repricing</t>
  </si>
  <si>
    <t>Final bias on Bias board</t>
  </si>
  <si>
    <t>2Y yield (%)</t>
  </si>
  <si>
    <t>Level — the carry edge</t>
  </si>
  <si>
    <t>Currency the call favours</t>
  </si>
  <si>
    <t>Real 2Y yield (%)</t>
  </si>
  <si>
    <t>2Y yield minus core CPI — inflation-adjusted return</t>
  </si>
  <si>
    <t>Policy rate (%)</t>
  </si>
  <si>
    <t>Where the central bank is now</t>
  </si>
  <si>
    <t>TOTAL SCORE</t>
  </si>
  <si>
    <t>DOES THE EVIDENCE BACK THE DIRECTION?</t>
  </si>
  <si>
    <t>Positive scores = hawkish pressure = supports that currency. Yield rows: 1 block ≈ 0.5 percentage point. Copy this sheet to keep several pairs open side by side.</t>
  </si>
  <si>
    <t>Scoreboard</t>
  </si>
  <si>
    <t>Verdict</t>
  </si>
  <si>
    <t>Strongest reason to own the base</t>
  </si>
  <si>
    <t>Strongest reason to own the quote</t>
  </si>
  <si>
    <t>Your read — why lean this way?</t>
  </si>
  <si>
    <t>EXAMPLE: USD repricing hawkishly while ECB is on hold; spread widening in USD's favour</t>
  </si>
  <si>
    <t>What keeps conviction down? (price not confirming, crowded positioning, catalyst ahead)</t>
  </si>
  <si>
    <t>EXAMPLE: EUR/USD not breaking structure yet; CPI next week</t>
  </si>
  <si>
    <t>Currency Scorecard</t>
  </si>
  <si>
    <t>⚠ EXAMPLE VALUES — illustrative only, not current data. Replace every blue cell before use.</t>
  </si>
  <si>
    <t>Each currency scores −1 / 0 / +1 on four drivers. Positive = hawkish pressure (supports the currency).</t>
  </si>
  <si>
    <t>Currency</t>
  </si>
  <si>
    <t>Central bank</t>
  </si>
  <si>
    <t>Next meeting</t>
  </si>
  <si>
    <t>Core CPI YoY (%)</t>
  </si>
  <si>
    <t>Core CPI 3M ago (%)</t>
  </si>
  <si>
    <t>Inflation target (%)</t>
  </si>
  <si>
    <t>Unemployment (%)</t>
  </si>
  <si>
    <t>Unemployment 3M ago (%)</t>
  </si>
  <si>
    <t>2Y yield 1M ago (%)</t>
  </si>
  <si>
    <t>Inflation score</t>
  </si>
  <si>
    <t>Labour score</t>
  </si>
  <si>
    <t>Growth score</t>
  </si>
  <si>
    <t>Pricing score (2Y)</t>
  </si>
  <si>
    <t>TOTAL</t>
  </si>
  <si>
    <t>STANCE</t>
  </si>
  <si>
    <t>Notes — what would change it?</t>
  </si>
  <si>
    <t>Fed</t>
  </si>
  <si>
    <t>EXAMPLE: services inflation re-accelerating; a soft CPI print would flip inflation score to 0</t>
  </si>
  <si>
    <t>ECB</t>
  </si>
  <si>
    <t>BoE</t>
  </si>
  <si>
    <t>BoJ</t>
  </si>
  <si>
    <t>AUD</t>
  </si>
  <si>
    <t>RBA</t>
  </si>
  <si>
    <t>NZD</t>
  </si>
  <si>
    <t>RBNZ</t>
  </si>
  <si>
    <t>CAD</t>
  </si>
  <si>
    <t>BoC</t>
  </si>
  <si>
    <t>CHF</t>
  </si>
  <si>
    <t>SNB</t>
  </si>
  <si>
    <t>AUD, NZD, CAD, CHF are ready but empty — fill them only when you start trading those pairs. Targets: RBA 2–3% band, RBNZ 1–3% band and SNB 0–2% band use the midpoint.</t>
  </si>
  <si>
    <t>Risk Regime &amp; Gold</t>
  </si>
  <si>
    <t>LIVE DATA as of 18–19 Sep 2026 (Claude, from the sources in the Notes column). Re-check weekly.</t>
  </si>
  <si>
    <t>RISK REGIME (borrowed from your investing Layer 3 VIX rules)</t>
  </si>
  <si>
    <t>VIX</t>
  </si>
  <si>
    <t>VIX &lt; calm level (Start Here) and S&amp;P above its 200-day = RISK-ON</t>
  </si>
  <si>
    <t>S&amp;P 500 close</t>
  </si>
  <si>
    <t>VIX &gt; stress level = RISK-OFF</t>
  </si>
  <si>
    <t>S&amp;P 500 200-day average</t>
  </si>
  <si>
    <t>Anything in between = CAUTION</t>
  </si>
  <si>
    <t>REGIME</t>
  </si>
  <si>
    <t>RISK-OFF: no trades against JPY/safe havens · CAUTION: size down / A+ only · RISK-ON: normal</t>
  </si>
  <si>
    <t>GOLD DRIVERS</t>
  </si>
  <si>
    <t>Driver</t>
  </si>
  <si>
    <t>Now</t>
  </si>
  <si>
    <t>1 month ago</t>
  </si>
  <si>
    <t>Change</t>
  </si>
  <si>
    <t>Score</t>
  </si>
  <si>
    <t>Notes</t>
  </si>
  <si>
    <t>US 10Y real yield (%)  — FRED DFII10</t>
  </si>
  <si>
    <t>Now: 10Y TIPS 2.66% on 18 Sep (StreetStats); Sep 17 auction at 2.653%, highest since 2008 (Tipswatch). 1M ago ≈2.39–2.40% (Convex/FRED). Rising real yields = headwind.</t>
  </si>
  <si>
    <t>Dollar index — ICE DXY (use the SAME series for both cells)</t>
  </si>
  <si>
    <t>Now ≈100.2 near 7-week high after Fed hike (Trading Economics). 1M change +0.57% (Investing.com 19 Aug–19 Sep). +1.3% this week alone — watch.</t>
  </si>
  <si>
    <t>Risk regime</t>
  </si>
  <si>
    <t>Risk-off adds safe-haven demand</t>
  </si>
  <si>
    <t>Your research (CB buying, geopolitics, ETF flows)</t>
  </si>
  <si>
    <t>+1: CB buying 244t in Q1 (WGC); strong ETF inflows in Aug (WGC); Hormuz/Saudi supply risk. Risk to this: Fed signalled more hikes, Oct hike partly priced.</t>
  </si>
  <si>
    <t>GOLD TOTAL</t>
  </si>
  <si>
    <t>GOLD BIAS</t>
  </si>
  <si>
    <t>Key Levels — where big players have shown their hand</t>
  </si>
  <si>
    <t>⚠ Levels marked 'verify' come from memory or an older note — check them on the chart before relying on them.</t>
  </si>
  <si>
    <t>CURRENT PRICES (update weekly)</t>
  </si>
  <si>
    <t>HOW EACH TYPE BEHAVES</t>
  </si>
  <si>
    <t>Instrument</t>
  </si>
  <si>
    <t>Price</t>
  </si>
  <si>
    <t>Updated</t>
  </si>
  <si>
    <t>Type</t>
  </si>
  <si>
    <t>How it behaves</t>
  </si>
  <si>
    <t>A government/central bank acted here. Don't hold positions into it; they react to SPEED of the move, not just the number. Caps a trend, rarely reverses it.</t>
  </si>
  <si>
    <t>Big strikes or expiries. Pin price near expiry (positive gamma) or accelerate moves (negative gamma). Only valid until the expiry date.</t>
  </si>
  <si>
    <t>Prior-year/all-time highs &amp; lows, round numbers. Stops cluster here → expect a sweep; trade the rejection, not the break.</t>
  </si>
  <si>
    <t>PDH/PDL, Asia/London range. Intraday only — refresh daily.</t>
  </si>
  <si>
    <t>NAS100</t>
  </si>
  <si>
    <t>Level</t>
  </si>
  <si>
    <t>Zone other edge</t>
  </si>
  <si>
    <t>Strength (1–3)</t>
  </si>
  <si>
    <t>What happened here</t>
  </si>
  <si>
    <t>Source</t>
  </si>
  <si>
    <t>Date set</t>
  </si>
  <si>
    <t>Last tested</t>
  </si>
  <si>
    <t>Reaction when tested</t>
  </si>
  <si>
    <t>Distance (%)</t>
  </si>
  <si>
    <t>Japan (joined by the US) bought yen after USD/JPY crossed 163 and neared 164</t>
  </si>
  <si>
    <t>CNBC / Wikipedia, Aug 2026</t>
  </si>
  <si>
    <t>Fell to ~155 within days</t>
  </si>
  <si>
    <t>July 2024 high, intervention followed</t>
  </si>
  <si>
    <t>Claude from memory — verify</t>
  </si>
  <si>
    <t>April 2024 high, intervention followed</t>
  </si>
  <si>
    <t>Widely cited political 'line in the sand'; MoF calls moves toward 160 disorderly</t>
  </si>
  <si>
    <t>OMFIF / CNBC, Aug 2026</t>
  </si>
  <si>
    <t>Post-intervention low; retested early September</t>
  </si>
  <si>
    <t>CNBC, Sep 2026</t>
  </si>
  <si>
    <t>Held (~155.28)</t>
  </si>
  <si>
    <t>October 2022 intervention high</t>
  </si>
  <si>
    <t>September 2022 first intervention</t>
  </si>
  <si>
    <t>All-time high</t>
  </si>
  <si>
    <t>Your context doc (Jul 2026) — verify</t>
  </si>
  <si>
    <t>End-of-August close after a 13% monthly rally — September has pulled back from here</t>
  </si>
  <si>
    <t>World Gold Council, Aug 2026 commentary</t>
  </si>
  <si>
    <t>Weekly high, broke above 4,400 after the Fed hike</t>
  </si>
  <si>
    <t>Yahoo Finance, 18 Sep 2026</t>
  </si>
  <si>
    <t>Support zone at the near six-week low on Fed day (16 Sep)</t>
  </si>
  <si>
    <t>FX Leaders / Trading Economics, Sep 2026</t>
  </si>
  <si>
    <t>Held — rebounded ~2% next day</t>
  </si>
  <si>
    <t>Range floor attributed to central-bank buying (as of July)</t>
  </si>
  <si>
    <t>Your context doc (Jul 2026) — re-verify, may be stale</t>
  </si>
  <si>
    <t>Bias Journal</t>
  </si>
  <si>
    <t>One row per bias deduced</t>
  </si>
  <si>
    <t>Date</t>
  </si>
  <si>
    <t>Bias</t>
  </si>
  <si>
    <t>Key driver</t>
  </si>
  <si>
    <t>Next catalyst</t>
  </si>
  <si>
    <t>Invalidation</t>
  </si>
  <si>
    <t>Outcome after 1 week</t>
  </si>
  <si>
    <t>Was the bias right?</t>
  </si>
  <si>
    <t>Lesson</t>
  </si>
  <si>
    <t>RISK-ON</t>
  </si>
  <si>
    <t>Tailwinds (CB buying, ETF inflows, Gulf risk) cancelled by real yields at 18-yr high after first Fed hike in 3 yrs</t>
  </si>
  <si>
    <t>Next Fed meeting / US CPI</t>
  </si>
  <si>
    <t>LONG if real yields −15 bp or DXY −1%</t>
  </si>
  <si>
    <t>Hub — where to go for everything that doesn't live in this workbook</t>
  </si>
  <si>
    <t>Click a link, read, then write ONE line back here. The detail stays at the source; only your conclusion comes back.</t>
  </si>
  <si>
    <t>A. COUNTRY HUB — the story behind every currency</t>
  </si>
  <si>
    <t>Situation in one line</t>
  </si>
  <si>
    <t>Main theme / risk</t>
  </si>
  <si>
    <t>Last checked</t>
  </si>
  <si>
    <t>Data + calendar</t>
  </si>
  <si>
    <t>News</t>
  </si>
  <si>
    <t>Trading Econ ↗</t>
  </si>
  <si>
    <t>News ↗</t>
  </si>
  <si>
    <t>ECB ↗</t>
  </si>
  <si>
    <t>BoE ↗</t>
  </si>
  <si>
    <t>EXAMPLE: BoJ hiked, yet yen still weak; Japan + US intervened 31 Jul near 164</t>
  </si>
  <si>
    <t>EXAMPLE: rate gap still wide; 160 is the political line</t>
  </si>
  <si>
    <t>BoJ ↗</t>
  </si>
  <si>
    <t>RBA ↗</t>
  </si>
  <si>
    <t>RBNZ ↗</t>
  </si>
  <si>
    <t>BoC ↗</t>
  </si>
  <si>
    <t>SNB ↗</t>
  </si>
  <si>
    <t>Only fill the currencies you actually trade. STALE = more than 14 days since you last read up.</t>
  </si>
  <si>
    <t>B. WHO HOLDS WHAT — governments, central banks and big positioning</t>
  </si>
  <si>
    <t>What</t>
  </si>
  <si>
    <t>Why it matters for you</t>
  </si>
  <si>
    <t>What changed? (one line)</t>
  </si>
  <si>
    <t>Updates</t>
  </si>
  <si>
    <t>Foreign holders of US Treasuries (Japan, China, UK…)</t>
  </si>
  <si>
    <t>Big holders selling = pressure on US yields and the dollar. Japan selling can signal FX defence.</t>
  </si>
  <si>
    <t>Monthly</t>
  </si>
  <si>
    <t>US Treasury TIC ↗</t>
  </si>
  <si>
    <t>Central-bank gold reserves / buying</t>
  </si>
  <si>
    <t>The main support under gold. Slower buying weakens the floor in Key Levels.</t>
  </si>
  <si>
    <t>World Gold Council ↗</t>
  </si>
  <si>
    <t>Reserve currency shares (USD, EUR, JPY…)</t>
  </si>
  <si>
    <t>Slow structural trend — is the world diversifying away from the dollar?</t>
  </si>
  <si>
    <t>Quarterly</t>
  </si>
  <si>
    <t>IMF COFER ↗</t>
  </si>
  <si>
    <t>Japan FX intervention amounts</t>
  </si>
  <si>
    <t>Confirms when and how much Japan acted → update USDJPY policy lines.</t>
  </si>
  <si>
    <t>Japan MoF ↗</t>
  </si>
  <si>
    <t>Speculator positioning (CFTC COT)</t>
  </si>
  <si>
    <t>Not governments, but shows crowded trades that can snap back.</t>
  </si>
  <si>
    <t>Weekly (Fri)</t>
  </si>
  <si>
    <t>CFTC ↗</t>
  </si>
  <si>
    <t>C. WHERE IS MONEY MOVING? — risk-on vs risk-off barometer (weekly)</t>
  </si>
  <si>
    <t>Gauge</t>
  </si>
  <si>
    <t>Reads RISK-ON when…</t>
  </si>
  <si>
    <t>Your read</t>
  </si>
  <si>
    <t>Where to check</t>
  </si>
  <si>
    <t>AUD/JPY</t>
  </si>
  <si>
    <t>Rising — money leaving the safe-haven yen for higher-yielding AUD</t>
  </si>
  <si>
    <t>TradingView ↗</t>
  </si>
  <si>
    <t>Copper ÷ gold</t>
  </si>
  <si>
    <t>Rising — growth metal beating the safe-haven metal. In TradingView type: HG1!/GC1!</t>
  </si>
  <si>
    <t>NEUTRAL</t>
  </si>
  <si>
    <t>US high-yield credit spread</t>
  </si>
  <si>
    <t>Falling — lenders relaxed about risky borrowers (FRED BAMLH0A0HYM2)</t>
  </si>
  <si>
    <t>FRED ↗</t>
  </si>
  <si>
    <t>Discretionary ÷ staples stocks</t>
  </si>
  <si>
    <t>Rising — investors buying 'wants' over 'needs'. In TradingView type: XLY/XLP</t>
  </si>
  <si>
    <t>Asset-class scoreboard</t>
  </si>
  <si>
    <t>Stocks &amp; commodities lead, bonds/gold/yen lag. Shows the week's leaders at a glance.</t>
  </si>
  <si>
    <t>RISK-OFF</t>
  </si>
  <si>
    <t>Finviz futures ↗</t>
  </si>
  <si>
    <t>Sentiment</t>
  </si>
  <si>
    <t>Greed. (Extreme greed = crowded, watch for reversal.)</t>
  </si>
  <si>
    <t>CNN Fear &amp; Greed ↗</t>
  </si>
  <si>
    <t>Barometer result</t>
  </si>
  <si>
    <t>VIX regime (Risk &amp; Gold)</t>
  </si>
  <si>
    <t>Do they agree?</t>
  </si>
  <si>
    <t>D. COUNTRY DEEP-DIVE — paste into Claude (in your Trading project) when you need the full story</t>
  </si>
  <si>
    <t>Give me a country brief for [CURRENCY] as of today. Search current sources. Cover: 1) the central bank's last decision, vote and guidance, 2) latest inflation, jobs and growth prints vs expectations, 3) what the market prices for the next 3 meetings, 4) political/fiscal risks, 5) government or central-bank FX activity and big official holders, 6) the next 3 catalysts with dates. End with ONE line I can paste into my Hub, and tell me what would change the picture.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</si>
</sst>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;\-0;0"/>
    <numFmt numFmtId="165" formatCode="\+0.00;\-0.00;0"/>
    <numFmt numFmtId="166" formatCode="0.0"/>
    <numFmt numFmtId="167" formatCode="0&quot; bp&quot;;\-0&quot; bp&quot;"/>
    <numFmt numFmtId="168" formatCode="0.0\%;\-0.0\%"/>
    <numFmt numFmtId="169" formatCode="\+0.00;\-0.00;0.00"/>
    <numFmt numFmtId="170" formatCode="#,##0.0"/>
  </numFmts>
  <fonts count="47" x14ac:knownFonts="1">
    <font>
      <sz val="11"/>
      <color theme="1"/>
      <name val="Calibri"/>
      <family val="2"/>
      <charset val="1"/>
    </font>
    <font>
      <i/>
      <sz val="9"/>
      <color rgb="FF666666"/>
      <name val="Arial"/>
      <charset val="1"/>
    </font>
    <font>
      <b/>
      <sz val="11"/>
      <color rgb="FF1F2A4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11"/>
      <color rgb="FF999999"/>
      <name val="Arial"/>
      <charset val="1"/>
    </font>
    <font>
      <b/>
      <sz val="12"/>
      <color rgb="FF0000FF"/>
      <name val="Arial"/>
      <charset val="1"/>
    </font>
    <font>
      <sz val="11"/>
      <color rgb="FF2E7D32"/>
      <name val="Arial"/>
      <charset val="1"/>
    </font>
    <font>
      <sz val="11"/>
      <color rgb="FFC62828"/>
      <name val="Arial"/>
      <charset val="1"/>
    </font>
    <font>
      <u/>
      <sz val="10"/>
      <color rgb="FF0563C1"/>
      <name val="Arial"/>
      <charset val="1"/>
    </font>
    <font>
      <sz val="10"/>
      <color theme="1"/>
      <name val="Arial"/>
    </font>
    <font>
      <b/>
      <sz val="16"/>
      <color rgb="FFFFFFFF"/>
      <name val="Arial"/>
    </font>
    <font>
      <i/>
      <sz val="9"/>
      <color rgb="FF666666"/>
      <name val="Arial"/>
    </font>
    <font>
      <b/>
      <sz val="12"/>
      <color rgb="FF1F2A44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u/>
      <sz val="10"/>
      <color rgb="FF0563C1"/>
      <name val="Arial"/>
    </font>
    <font>
      <b/>
      <sz val="9"/>
      <color rgb="FF1F2A44"/>
      <name val="Arial"/>
    </font>
    <font>
      <sz val="10"/>
      <color rgb="FF0000FF"/>
      <name val="Arial"/>
    </font>
    <font>
      <sz val="9"/>
      <color rgb="FF666666"/>
      <name val="Arial"/>
    </font>
    <font>
      <sz val="10"/>
      <color rgb="FF000000"/>
      <name val="Arial"/>
    </font>
    <font>
      <sz val="10"/>
      <color rgb="FF008000"/>
      <name val="Arial"/>
    </font>
    <font>
      <u/>
      <sz val="10"/>
      <color rgb="FF0563C1"/>
      <name val="Arial"/>
    </font>
    <font>
      <b/>
      <sz val="10"/>
      <color rgb="FFC00000"/>
      <name val="Arial"/>
    </font>
    <font>
      <sz val="10"/>
      <color rgb="FF999999"/>
      <name val="Arial"/>
    </font>
    <font>
      <i/>
      <sz val="10"/>
      <color rgb="FF404040"/>
      <name val="Arial"/>
    </font>
    <font>
      <b/>
      <sz val="10"/>
      <color rgb="FF006100"/>
      <name val="Arial"/>
    </font>
    <font>
      <b/>
      <sz val="10"/>
      <color rgb="FF9C0006"/>
      <name val="Arial"/>
    </font>
    <font>
      <b/>
      <sz val="10"/>
      <color rgb="FF9C5700"/>
      <name val="Arial"/>
    </font>
    <font>
      <b/>
      <sz val="10"/>
      <color rgb="FF595959"/>
      <name val="Arial"/>
    </font>
    <font>
      <sz val="10"/>
      <color rgb="FF2E7D32"/>
      <name val="Arial"/>
    </font>
    <font>
      <sz val="10"/>
      <color rgb="FFC62828"/>
      <name val="Arial"/>
    </font>
    <font>
      <b/>
      <sz val="10"/>
      <color rgb="FF5B2C83"/>
      <name val="Arial"/>
    </font>
    <font>
      <b/>
      <sz val="10"/>
      <color rgb="FF843C0C"/>
      <name val="Arial"/>
    </font>
    <font>
      <b/>
      <sz val="10"/>
      <color rgb="FF5C4326"/>
      <name val="Arial"/>
    </font>
    <font>
      <b/>
      <sz val="10"/>
      <color rgb="FF0E5C55"/>
      <name val="Arial"/>
    </font>
    <font>
      <u/>
      <sz val="9"/>
      <color rgb="FFFFFFFF"/>
      <name val="Arial"/>
    </font>
    <font>
      <b/>
      <sz val="10"/>
      <color theme="1"/>
      <name val="Arial"/>
    </font>
    <font>
      <b/>
      <i/>
      <sz val="9"/>
      <color rgb="FF666666"/>
      <name val="Arial"/>
    </font>
    <font>
      <b/>
      <sz val="10"/>
      <color rgb="FF1F2A44"/>
      <name val="Arial"/>
    </font>
    <font>
      <sz val="9"/>
      <color rgb="FF404040"/>
      <name val="Arial"/>
    </font>
  </fonts>
  <fills count="1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2A44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E8D5F5"/>
      </patternFill>
    </fill>
    <fill>
      <patternFill patternType="solid">
        <fgColor rgb="FFFCE4D6"/>
      </patternFill>
    </fill>
    <fill>
      <patternFill patternType="solid">
        <fgColor rgb="FFEFE6D5"/>
      </patternFill>
    </fill>
    <fill>
      <patternFill patternType="solid">
        <fgColor rgb="FFD5EEEC"/>
      </patternFill>
    </fill>
    <fill>
      <patternFill patternType="solid">
        <fgColor rgb="FF2E7D32"/>
      </patternFill>
    </fill>
    <fill>
      <patternFill patternType="solid">
        <fgColor rgb="FF4472C4"/>
      </patternFill>
    </fill>
  </fills>
  <borders count="14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2A44"/>
      </bottom>
      <diagonal/>
    </border>
    <border>
      <left style="thin">
        <color rgb="FF3A4766"/>
      </left>
      <right style="thin">
        <color rgb="FF3A4766"/>
      </right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/>
      <right/>
      <top/>
      <bottom style="thin">
        <color rgb="FFC9CED6"/>
      </bottom>
      <diagonal/>
    </border>
    <border>
      <left/>
      <right/>
      <top/>
      <bottom style="thin">
        <color rgb="FF1F2A44"/>
      </bottom>
      <diagonal/>
    </border>
    <border>
      <left style="medium">
        <color rgb="FF1F2A44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 style="thin">
        <color rgb="FFC9CED6"/>
      </left>
      <right style="thin">
        <color rgb="FFC9CED6"/>
      </right>
      <top style="double">
        <color rgb="FF1F2A44"/>
      </top>
      <bottom style="thin">
        <color rgb="FFC9CED6"/>
      </bottom>
      <diagonal/>
    </border>
    <border>
      <left style="medium">
        <color rgb="FF1F2A44"/>
      </left>
      <right/>
      <top style="thin">
        <color rgb="FFC9CED6"/>
      </top>
      <bottom style="thin">
        <color rgb="FFC9CED6"/>
      </bottom>
      <diagonal/>
    </border>
    <border>
      <left/>
      <right/>
      <top style="thin">
        <color rgb="FFC9CED6"/>
      </top>
      <bottom style="thin">
        <color rgb="FFC9CED6"/>
      </bottom>
      <diagonal/>
    </border>
    <border>
      <left/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16" fillId="4" borderId="3" xfId="0" applyFont="1" applyFill="1" applyBorder="1" applyAlignment="1">
      <alignment horizontal="left" vertical="center" indent="1"/>
    </xf>
    <xf numFmtId="0" fontId="0" fillId="4" borderId="3" xfId="0" applyFill="1" applyBorder="1"/>
    <xf numFmtId="0" fontId="17" fillId="0" borderId="0" xfId="0" applyFont="1" applyAlignment="1">
      <alignment horizontal="left" vertical="center" indent="1"/>
    </xf>
    <xf numFmtId="0" fontId="18" fillId="0" borderId="4" xfId="0" applyFont="1" applyBorder="1" applyAlignment="1">
      <alignment horizontal="left"/>
    </xf>
    <xf numFmtId="0" fontId="0" fillId="0" borderId="4" xfId="0" applyBorder="1"/>
    <xf numFmtId="0" fontId="15" fillId="0" borderId="0" xfId="0" applyFont="1"/>
    <xf numFmtId="0" fontId="20" fillId="4" borderId="5" xfId="0" applyFont="1" applyFill="1" applyBorder="1" applyAlignment="1">
      <alignment horizontal="left" vertical="center" indent="1"/>
    </xf>
    <xf numFmtId="0" fontId="20" fillId="4" borderId="5" xfId="0" applyFont="1" applyFill="1" applyBorder="1" applyAlignment="1">
      <alignment horizontal="left" vertical="center"/>
    </xf>
    <xf numFmtId="0" fontId="22" fillId="0" borderId="6" xfId="0" applyFont="1" applyBorder="1" applyAlignment="1">
      <alignment horizontal="left" vertical="center" indent="1"/>
    </xf>
    <xf numFmtId="0" fontId="0" fillId="0" borderId="6" xfId="0" applyBorder="1" applyAlignment="1">
      <alignment horizontal="left" vertical="center" wrapText="1"/>
    </xf>
    <xf numFmtId="0" fontId="19" fillId="0" borderId="4" xfId="0" applyFont="1" applyBorder="1"/>
    <xf numFmtId="0" fontId="23" fillId="0" borderId="8" xfId="0" applyFont="1" applyBorder="1" applyAlignment="1">
      <alignment horizontal="left"/>
    </xf>
    <xf numFmtId="0" fontId="0" fillId="0" borderId="8" xfId="0" applyBorder="1"/>
    <xf numFmtId="0" fontId="24" fillId="5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left" vertical="center" wrapText="1"/>
    </xf>
    <xf numFmtId="0" fontId="26" fillId="6" borderId="6" xfId="0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2" fillId="8" borderId="6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4" fillId="10" borderId="6" xfId="0" applyFont="1" applyFill="1" applyBorder="1" applyAlignment="1">
      <alignment horizontal="center" vertical="center"/>
    </xf>
    <xf numFmtId="0" fontId="35" fillId="11" borderId="6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6" fillId="6" borderId="6" xfId="0" applyFont="1" applyFill="1" applyBorder="1" applyAlignment="1">
      <alignment horizontal="center" vertical="center"/>
    </xf>
    <xf numFmtId="0" fontId="37" fillId="6" borderId="6" xfId="0" applyFont="1" applyFill="1" applyBorder="1" applyAlignment="1">
      <alignment horizontal="center" vertical="center"/>
    </xf>
    <xf numFmtId="0" fontId="38" fillId="12" borderId="6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40" fillId="14" borderId="6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 wrapText="1"/>
    </xf>
    <xf numFmtId="0" fontId="41" fillId="15" borderId="6" xfId="0" applyFont="1" applyFill="1" applyBorder="1" applyAlignment="1">
      <alignment horizontal="center" vertical="center"/>
    </xf>
    <xf numFmtId="0" fontId="29" fillId="5" borderId="6" xfId="0" applyFont="1" applyFill="1" applyBorder="1" applyAlignment="1">
      <alignment horizontal="center" vertical="center"/>
    </xf>
    <xf numFmtId="0" fontId="20" fillId="16" borderId="6" xfId="0" applyFont="1" applyFill="1" applyBorder="1" applyAlignment="1">
      <alignment horizontal="center" vertical="center"/>
    </xf>
    <xf numFmtId="0" fontId="20" fillId="17" borderId="6" xfId="0" applyFont="1" applyFill="1" applyBorder="1" applyAlignment="1">
      <alignment horizontal="center" vertical="center"/>
    </xf>
    <xf numFmtId="0" fontId="15" fillId="4" borderId="3" xfId="0" applyFont="1" applyFill="1" applyBorder="1"/>
    <xf numFmtId="0" fontId="42" fillId="4" borderId="3" xfId="0" applyFont="1" applyFill="1" applyBorder="1" applyAlignment="1">
      <alignment horizontal="right" vertical="center" indent="1"/>
    </xf>
    <xf numFmtId="0" fontId="20" fillId="4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5" fontId="4" fillId="2" borderId="6" xfId="0" applyNumberFormat="1" applyFont="1" applyFill="1" applyBorder="1" applyAlignment="1">
      <alignment horizontal="center" vertical="center"/>
    </xf>
    <xf numFmtId="15" fontId="5" fillId="3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5" fillId="0" borderId="4" xfId="0" applyFont="1" applyBorder="1"/>
    <xf numFmtId="0" fontId="45" fillId="0" borderId="0" xfId="0" applyFont="1" applyAlignment="1">
      <alignment horizontal="left"/>
    </xf>
    <xf numFmtId="0" fontId="21" fillId="0" borderId="6" xfId="0" applyFont="1" applyBorder="1" applyAlignment="1">
      <alignment horizontal="left" vertical="center" indent="1"/>
    </xf>
    <xf numFmtId="0" fontId="11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12" fillId="3" borderId="6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horizontal="left" vertical="center"/>
    </xf>
    <xf numFmtId="164" fontId="15" fillId="3" borderId="6" xfId="0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2" fontId="6" fillId="3" borderId="6" xfId="0" applyNumberFormat="1" applyFont="1" applyFill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3" borderId="10" xfId="0" applyFont="1" applyFill="1" applyBorder="1" applyAlignment="1">
      <alignment horizontal="center" vertical="center"/>
    </xf>
    <xf numFmtId="0" fontId="43" fillId="0" borderId="10" xfId="0" applyFont="1" applyBorder="1" applyAlignment="1">
      <alignment vertical="center"/>
    </xf>
    <xf numFmtId="0" fontId="44" fillId="0" borderId="10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2" fontId="4" fillId="2" borderId="6" xfId="0" applyNumberFormat="1" applyFont="1" applyFill="1" applyBorder="1" applyAlignment="1">
      <alignment horizontal="center" vertical="center"/>
    </xf>
    <xf numFmtId="166" fontId="4" fillId="2" borderId="6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170" fontId="4" fillId="2" borderId="6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 indent="1"/>
    </xf>
    <xf numFmtId="2" fontId="4" fillId="2" borderId="6" xfId="0" applyNumberFormat="1" applyFont="1" applyFill="1" applyBorder="1" applyAlignment="1">
      <alignment vertical="center"/>
    </xf>
    <xf numFmtId="167" fontId="5" fillId="3" borderId="6" xfId="0" applyNumberFormat="1" applyFont="1" applyFill="1" applyBorder="1" applyAlignment="1">
      <alignment horizontal="center" vertical="center"/>
    </xf>
    <xf numFmtId="168" fontId="5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21" fillId="0" borderId="10" xfId="0" applyFont="1" applyBorder="1" applyAlignment="1">
      <alignment horizontal="left" vertical="center" wrapText="1" indent="1"/>
    </xf>
    <xf numFmtId="0" fontId="43" fillId="0" borderId="10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 indent="1"/>
    </xf>
    <xf numFmtId="0" fontId="21" fillId="3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vertical="center"/>
    </xf>
    <xf numFmtId="0" fontId="43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top" wrapText="1"/>
    </xf>
    <xf numFmtId="0" fontId="9" fillId="0" borderId="6" xfId="0" applyFont="1" applyBorder="1" applyAlignment="1">
      <alignment horizontal="left" vertical="center" indent="1"/>
    </xf>
    <xf numFmtId="4" fontId="4" fillId="2" borderId="6" xfId="0" applyNumberFormat="1" applyFont="1" applyFill="1" applyBorder="1" applyAlignment="1">
      <alignment vertical="center"/>
    </xf>
    <xf numFmtId="15" fontId="4" fillId="2" borderId="6" xfId="0" applyNumberFormat="1" applyFont="1" applyFill="1" applyBorder="1" applyAlignment="1">
      <alignment vertical="center"/>
    </xf>
    <xf numFmtId="0" fontId="19" fillId="0" borderId="6" xfId="0" applyFont="1" applyBorder="1" applyAlignment="1">
      <alignment horizontal="left" vertical="center" wrapText="1"/>
    </xf>
    <xf numFmtId="4" fontId="4" fillId="2" borderId="6" xfId="0" applyNumberFormat="1" applyFont="1" applyFill="1" applyBorder="1" applyAlignment="1">
      <alignment horizontal="center" vertical="center"/>
    </xf>
    <xf numFmtId="169" fontId="15" fillId="3" borderId="6" xfId="0" applyNumberFormat="1" applyFont="1" applyFill="1" applyBorder="1" applyAlignment="1">
      <alignment horizontal="center" vertical="center"/>
    </xf>
    <xf numFmtId="15" fontId="4" fillId="2" borderId="6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15" fillId="0" borderId="3" xfId="0" applyFont="1" applyBorder="1"/>
    <xf numFmtId="0" fontId="14" fillId="0" borderId="3" xfId="0" applyFont="1" applyBorder="1" applyAlignment="1">
      <alignment horizontal="center" vertical="top"/>
    </xf>
    <xf numFmtId="0" fontId="15" fillId="3" borderId="6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5" fillId="0" borderId="0" xfId="0" applyFont="1"/>
    <xf numFmtId="0" fontId="8" fillId="0" borderId="7" xfId="0" applyFont="1" applyBorder="1" applyAlignment="1">
      <alignment horizontal="left" vertical="center" wrapText="1"/>
    </xf>
    <xf numFmtId="0" fontId="0" fillId="0" borderId="7" xfId="0" applyBorder="1"/>
    <xf numFmtId="0" fontId="19" fillId="0" borderId="3" xfId="0" applyFont="1" applyBorder="1" applyAlignment="1">
      <alignment horizontal="left" vertical="center"/>
    </xf>
    <xf numFmtId="0" fontId="0" fillId="0" borderId="0" xfId="0"/>
    <xf numFmtId="0" fontId="17" fillId="0" borderId="1" xfId="0" applyFont="1" applyBorder="1" applyAlignment="1">
      <alignment horizontal="left" vertical="center" wrapText="1"/>
    </xf>
    <xf numFmtId="0" fontId="0" fillId="0" borderId="1" xfId="0" applyBorder="1"/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5" fillId="0" borderId="6" xfId="0" applyFont="1" applyBorder="1"/>
    <xf numFmtId="0" fontId="4" fillId="2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 indent="1"/>
    </xf>
    <xf numFmtId="0" fontId="31" fillId="0" borderId="11" xfId="0" applyFont="1" applyBorder="1" applyAlignment="1">
      <alignment horizontal="left" vertical="center" wrapText="1" indent="1"/>
    </xf>
    <xf numFmtId="0" fontId="15" fillId="0" borderId="12" xfId="0" applyFont="1" applyBorder="1"/>
    <xf numFmtId="0" fontId="15" fillId="0" borderId="13" xfId="0" applyFont="1" applyBorder="1"/>
  </cellXfs>
  <cellStyles count="1">
    <cellStyle name="Normal" xfId="0" builtinId="0"/>
  </cellStyles>
  <dxfs count="64"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595959"/>
        <name val="Arial"/>
        <charset val="1"/>
      </font>
      <fill>
        <patternFill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595959"/>
      </font>
      <fill>
        <patternFill patternType="solid">
          <fgColor rgb="FFF2F2F2"/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C00000"/>
        <name val="Arial"/>
        <charset val="1"/>
      </font>
    </dxf>
    <dxf>
      <font>
        <b/>
        <color rgb="FF0E5C55"/>
      </font>
      <fill>
        <patternFill patternType="solid">
          <fgColor rgb="FFD5EEEC"/>
          <bgColor rgb="FFD5EEEC"/>
        </patternFill>
      </fill>
    </dxf>
    <dxf>
      <font>
        <b/>
        <color rgb="FF5C4326"/>
      </font>
      <fill>
        <patternFill patternType="solid">
          <fgColor rgb="FFEFE6D5"/>
          <bgColor rgb="FFEFE6D5"/>
        </patternFill>
      </fill>
    </dxf>
    <dxf>
      <font>
        <b/>
        <color rgb="FF843C0C"/>
      </font>
      <fill>
        <patternFill patternType="solid">
          <fgColor rgb="FFFCE4D6"/>
          <bgColor rgb="FFFCE4D6"/>
        </patternFill>
      </fill>
    </dxf>
    <dxf>
      <font>
        <b/>
        <color rgb="FF5B2C83"/>
      </font>
      <fill>
        <patternFill patternType="solid">
          <fgColor rgb="FFE8D5F5"/>
          <bgColor rgb="FFE8D5F5"/>
        </patternFill>
      </fill>
    </dxf>
    <dxf>
      <font>
        <b/>
        <color rgb="FF9C0006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595959"/>
        <name val="Arial"/>
        <charset val="1"/>
      </font>
      <fill>
        <patternFill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595959"/>
        <name val="Arial"/>
        <charset val="1"/>
      </font>
      <fill>
        <patternFill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595959"/>
        <name val="Arial"/>
        <charset val="1"/>
      </font>
      <fill>
        <patternFill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595959"/>
        <name val="Arial"/>
        <charset val="1"/>
      </font>
      <fill>
        <patternFill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595959"/>
        <name val="Arial"/>
        <charset val="1"/>
      </font>
      <fill>
        <patternFill>
          <bgColor rgb="FFF2F2F2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C62828"/>
      <rgbColor rgb="FFFFF2CC"/>
      <rgbColor rgb="FFD6EAF8"/>
      <rgbColor rgb="FF660066"/>
      <rgbColor rgb="FFFF8080"/>
      <rgbColor rgb="FF0563C1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B4F72"/>
      <rgbColor rgb="FF2E7D32"/>
      <rgbColor rgb="FF006100"/>
      <rgbColor rgb="FF333300"/>
      <rgbColor rgb="FF9C5700"/>
      <rgbColor rgb="FF993366"/>
      <rgbColor rgb="FF5B2C83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ba.gov.au/monetary-policy/" TargetMode="External"/><Relationship Id="rId18" Type="http://schemas.openxmlformats.org/officeDocument/2006/relationships/hyperlink" Target="https://news.google.com/search?q=%22Reserve%20Bank%20of%20New%20Zealand%22%20OR%20%22New%20Zealand%20dollar%22" TargetMode="External"/><Relationship Id="rId26" Type="http://schemas.openxmlformats.org/officeDocument/2006/relationships/hyperlink" Target="https://www.gold.org/goldhub/data/gold-reserves-by-country" TargetMode="External"/><Relationship Id="rId3" Type="http://schemas.openxmlformats.org/officeDocument/2006/relationships/hyperlink" Target="https://news.google.com/search?q=%22Federal%20Reserve%22%20OR%20%22US%20dollar%22" TargetMode="External"/><Relationship Id="rId21" Type="http://schemas.openxmlformats.org/officeDocument/2006/relationships/hyperlink" Target="https://news.google.com/search?q=%22Bank%20of%20Canada%22%20OR%20%22Canadian%20dollar%22" TargetMode="External"/><Relationship Id="rId34" Type="http://schemas.openxmlformats.org/officeDocument/2006/relationships/hyperlink" Target="https://finviz.com/futures.ashx" TargetMode="External"/><Relationship Id="rId7" Type="http://schemas.openxmlformats.org/officeDocument/2006/relationships/hyperlink" Target="https://www.bankofengland.co.uk/monetary-policy" TargetMode="External"/><Relationship Id="rId12" Type="http://schemas.openxmlformats.org/officeDocument/2006/relationships/hyperlink" Target="https://news.google.com/search?q=%22Bank%20of%20Japan%22%20OR%20yen" TargetMode="External"/><Relationship Id="rId17" Type="http://schemas.openxmlformats.org/officeDocument/2006/relationships/hyperlink" Target="https://tradingeconomics.com/new-zealand/indicators" TargetMode="External"/><Relationship Id="rId25" Type="http://schemas.openxmlformats.org/officeDocument/2006/relationships/hyperlink" Target="https://ticdata.treasury.gov/resource-center/data-chart-center/tic/Documents/slt_table5.html" TargetMode="External"/><Relationship Id="rId33" Type="http://schemas.openxmlformats.org/officeDocument/2006/relationships/hyperlink" Target="https://www.tradingview.com/chart/" TargetMode="External"/><Relationship Id="rId2" Type="http://schemas.openxmlformats.org/officeDocument/2006/relationships/hyperlink" Target="https://tradingeconomics.com/united-states/indicators" TargetMode="External"/><Relationship Id="rId16" Type="http://schemas.openxmlformats.org/officeDocument/2006/relationships/hyperlink" Target="https://www.rbnz.govt.nz/" TargetMode="External"/><Relationship Id="rId20" Type="http://schemas.openxmlformats.org/officeDocument/2006/relationships/hyperlink" Target="https://tradingeconomics.com/canada/indicators" TargetMode="External"/><Relationship Id="rId29" Type="http://schemas.openxmlformats.org/officeDocument/2006/relationships/hyperlink" Target="https://www.cftc.gov/MarketReports/CommitmentsofTraders/index.htm" TargetMode="External"/><Relationship Id="rId1" Type="http://schemas.openxmlformats.org/officeDocument/2006/relationships/hyperlink" Target="https://www.federalreserve.gov/monetarypolicy.htm" TargetMode="External"/><Relationship Id="rId6" Type="http://schemas.openxmlformats.org/officeDocument/2006/relationships/hyperlink" Target="https://news.google.com/search?q=%22European%20Central%20Bank%22%20OR%20euro" TargetMode="External"/><Relationship Id="rId11" Type="http://schemas.openxmlformats.org/officeDocument/2006/relationships/hyperlink" Target="https://tradingeconomics.com/japan/indicators" TargetMode="External"/><Relationship Id="rId24" Type="http://schemas.openxmlformats.org/officeDocument/2006/relationships/hyperlink" Target="https://news.google.com/search?q=%22Swiss%20National%20Bank%22%20OR%20franc" TargetMode="External"/><Relationship Id="rId32" Type="http://schemas.openxmlformats.org/officeDocument/2006/relationships/hyperlink" Target="https://fred.stlouisfed.org/series/BAMLH0A0HYM2" TargetMode="External"/><Relationship Id="rId5" Type="http://schemas.openxmlformats.org/officeDocument/2006/relationships/hyperlink" Target="https://tradingeconomics.com/euro-area/indicators" TargetMode="External"/><Relationship Id="rId15" Type="http://schemas.openxmlformats.org/officeDocument/2006/relationships/hyperlink" Target="https://news.google.com/search?q=%22Reserve%20Bank%20of%20Australia%22%20OR%20%22Australian%20dollar%22" TargetMode="External"/><Relationship Id="rId23" Type="http://schemas.openxmlformats.org/officeDocument/2006/relationships/hyperlink" Target="https://tradingeconomics.com/switzerland/indicators" TargetMode="External"/><Relationship Id="rId28" Type="http://schemas.openxmlformats.org/officeDocument/2006/relationships/hyperlink" Target="https://www.mof.go.jp/english/policy/international_policy/reference/feio/index.html" TargetMode="External"/><Relationship Id="rId10" Type="http://schemas.openxmlformats.org/officeDocument/2006/relationships/hyperlink" Target="https://www.boj.or.jp/en/mopo/index.htm" TargetMode="External"/><Relationship Id="rId19" Type="http://schemas.openxmlformats.org/officeDocument/2006/relationships/hyperlink" Target="https://www.bankofcanada.ca/core-functions/monetary-policy/" TargetMode="External"/><Relationship Id="rId31" Type="http://schemas.openxmlformats.org/officeDocument/2006/relationships/hyperlink" Target="https://www.tradingview.com/chart/" TargetMode="External"/><Relationship Id="rId4" Type="http://schemas.openxmlformats.org/officeDocument/2006/relationships/hyperlink" Target="https://www.ecb.europa.eu/mopo/html/index.en.html" TargetMode="External"/><Relationship Id="rId9" Type="http://schemas.openxmlformats.org/officeDocument/2006/relationships/hyperlink" Target="https://news.google.com/search?q=%22Bank%20of%20England%22%20OR%20sterling" TargetMode="External"/><Relationship Id="rId14" Type="http://schemas.openxmlformats.org/officeDocument/2006/relationships/hyperlink" Target="https://tradingeconomics.com/australia/indicators" TargetMode="External"/><Relationship Id="rId22" Type="http://schemas.openxmlformats.org/officeDocument/2006/relationships/hyperlink" Target="https://www.snb.ch/en/the-snb/mandates-goals/monetary-policy" TargetMode="External"/><Relationship Id="rId27" Type="http://schemas.openxmlformats.org/officeDocument/2006/relationships/hyperlink" Target="https://data.imf.org/cofer" TargetMode="External"/><Relationship Id="rId30" Type="http://schemas.openxmlformats.org/officeDocument/2006/relationships/hyperlink" Target="https://www.tradingview.com/symbols/FX-AUDJPY/" TargetMode="External"/><Relationship Id="rId35" Type="http://schemas.openxmlformats.org/officeDocument/2006/relationships/hyperlink" Target="https://www.cnn.com/markets/fear-and-greed" TargetMode="External"/><Relationship Id="rId8" Type="http://schemas.openxmlformats.org/officeDocument/2006/relationships/hyperlink" Target="https://tradingeconomics.com/united-kingdom/indica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A1:G43"/>
  <sheetViews>
    <sheetView showGridLines="0" zoomScaleNormal="100" workbookViewId="0">
      <pane ySplit="2" topLeftCell="A18" activePane="bottomLeft" state="frozen"/>
      <selection pane="bottomLeft" activeCell="N27" sqref="N27"/>
    </sheetView>
  </sheetViews>
  <sheetFormatPr defaultColWidth="8.7109375" defaultRowHeight="15" x14ac:dyDescent="0.25"/>
  <cols>
    <col min="1" max="1" width="34" customWidth="1"/>
    <col min="2" max="2" width="29.5703125" customWidth="1"/>
    <col min="3" max="3" width="70" customWidth="1"/>
    <col min="4" max="4" width="3" customWidth="1"/>
    <col min="5" max="5" width="26" customWidth="1"/>
    <col min="6" max="6" width="64" customWidth="1"/>
    <col min="7" max="7" width="36" customWidth="1"/>
  </cols>
  <sheetData>
    <row r="1" spans="1:7" ht="33.950000000000003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ht="20.100000000000001" customHeight="1" x14ac:dyDescent="0.25">
      <c r="A2" s="4" t="s">
        <v>1</v>
      </c>
    </row>
    <row r="3" spans="1:7" ht="8.1" customHeight="1" x14ac:dyDescent="0.25">
      <c r="A3" s="1"/>
      <c r="B3" s="1"/>
      <c r="C3" s="1"/>
    </row>
    <row r="4" spans="1:7" ht="24" customHeight="1" x14ac:dyDescent="0.25">
      <c r="A4" s="5" t="s">
        <v>2</v>
      </c>
      <c r="B4" s="6"/>
      <c r="C4" s="6"/>
      <c r="E4" s="5" t="s">
        <v>3</v>
      </c>
      <c r="F4" s="6"/>
      <c r="G4" s="6"/>
    </row>
    <row r="5" spans="1:7" ht="21.95" customHeight="1" x14ac:dyDescent="0.25">
      <c r="A5" s="115" t="s">
        <v>4</v>
      </c>
      <c r="B5" s="116"/>
      <c r="C5" s="116"/>
      <c r="E5" s="8" t="s">
        <v>5</v>
      </c>
      <c r="F5" s="9" t="s">
        <v>6</v>
      </c>
      <c r="G5" s="9" t="s">
        <v>7</v>
      </c>
    </row>
    <row r="6" spans="1:7" ht="19.899999999999999" customHeight="1" x14ac:dyDescent="0.25">
      <c r="A6" s="115" t="s">
        <v>8</v>
      </c>
      <c r="B6" s="116"/>
      <c r="C6" s="116"/>
      <c r="E6" s="10" t="s">
        <v>9</v>
      </c>
      <c r="F6" s="11" t="s">
        <v>10</v>
      </c>
      <c r="G6" s="11" t="s">
        <v>11</v>
      </c>
    </row>
    <row r="7" spans="1:7" ht="19.899999999999999" customHeight="1" x14ac:dyDescent="0.25">
      <c r="A7" s="115" t="s">
        <v>12</v>
      </c>
      <c r="B7" s="116"/>
      <c r="C7" s="116"/>
      <c r="E7" s="10" t="s">
        <v>13</v>
      </c>
      <c r="F7" s="11" t="s">
        <v>14</v>
      </c>
      <c r="G7" s="11" t="s">
        <v>15</v>
      </c>
    </row>
    <row r="8" spans="1:7" ht="19.899999999999999" customHeight="1" x14ac:dyDescent="0.25">
      <c r="A8" s="115" t="s">
        <v>16</v>
      </c>
      <c r="B8" s="116"/>
      <c r="C8" s="116"/>
      <c r="E8" s="10" t="s">
        <v>17</v>
      </c>
      <c r="F8" s="11" t="s">
        <v>18</v>
      </c>
      <c r="G8" s="11" t="s">
        <v>19</v>
      </c>
    </row>
    <row r="9" spans="1:7" ht="19.899999999999999" customHeight="1" x14ac:dyDescent="0.25">
      <c r="A9" s="115" t="s">
        <v>20</v>
      </c>
      <c r="B9" s="116"/>
      <c r="C9" s="116"/>
      <c r="E9" s="10" t="s">
        <v>21</v>
      </c>
      <c r="F9" s="11" t="s">
        <v>22</v>
      </c>
      <c r="G9" s="11" t="s">
        <v>19</v>
      </c>
    </row>
    <row r="10" spans="1:7" ht="19.899999999999999" customHeight="1" x14ac:dyDescent="0.25">
      <c r="A10" s="115" t="s">
        <v>23</v>
      </c>
      <c r="B10" s="116"/>
      <c r="C10" s="116"/>
      <c r="E10" s="10" t="s">
        <v>24</v>
      </c>
      <c r="F10" s="11" t="s">
        <v>25</v>
      </c>
      <c r="G10" s="11" t="s">
        <v>19</v>
      </c>
    </row>
    <row r="11" spans="1:7" ht="19.899999999999999" customHeight="1" x14ac:dyDescent="0.25">
      <c r="A11" s="7"/>
      <c r="B11" s="7"/>
      <c r="C11" s="7"/>
      <c r="E11" s="10" t="s">
        <v>26</v>
      </c>
      <c r="F11" s="11" t="s">
        <v>27</v>
      </c>
      <c r="G11" s="11" t="s">
        <v>28</v>
      </c>
    </row>
    <row r="12" spans="1:7" ht="24" customHeight="1" x14ac:dyDescent="0.25">
      <c r="A12" s="5" t="s">
        <v>29</v>
      </c>
      <c r="B12" s="12"/>
      <c r="C12" s="12"/>
      <c r="E12" s="10" t="s">
        <v>30</v>
      </c>
      <c r="F12" s="11" t="s">
        <v>31</v>
      </c>
      <c r="G12" s="11" t="s">
        <v>32</v>
      </c>
    </row>
    <row r="13" spans="1:7" ht="18.600000000000001" customHeight="1" x14ac:dyDescent="0.25">
      <c r="A13" s="119" t="s">
        <v>33</v>
      </c>
      <c r="B13" s="120"/>
      <c r="C13" s="120"/>
    </row>
    <row r="14" spans="1:7" ht="21.95" customHeight="1" x14ac:dyDescent="0.25">
      <c r="A14" s="119" t="s">
        <v>34</v>
      </c>
      <c r="B14" s="120"/>
      <c r="C14" s="120"/>
      <c r="E14" s="5" t="s">
        <v>35</v>
      </c>
      <c r="F14" s="6"/>
      <c r="G14" s="6"/>
    </row>
    <row r="15" spans="1:7" ht="21.95" customHeight="1" x14ac:dyDescent="0.25">
      <c r="A15" s="119" t="s">
        <v>36</v>
      </c>
      <c r="B15" s="120"/>
      <c r="C15" s="120"/>
      <c r="E15" s="13" t="s">
        <v>37</v>
      </c>
      <c r="F15" s="14"/>
      <c r="G15" s="14"/>
    </row>
    <row r="16" spans="1:7" ht="19.899999999999999" customHeight="1" x14ac:dyDescent="0.25">
      <c r="A16" s="119" t="s">
        <v>38</v>
      </c>
      <c r="B16" s="120"/>
      <c r="C16" s="120"/>
      <c r="E16" s="15" t="s">
        <v>39</v>
      </c>
      <c r="F16" s="11" t="s">
        <v>40</v>
      </c>
      <c r="G16" s="16" t="s">
        <v>41</v>
      </c>
    </row>
    <row r="17" spans="1:7" ht="19.899999999999999" customHeight="1" x14ac:dyDescent="0.25">
      <c r="A17" s="7"/>
      <c r="B17" s="7"/>
      <c r="C17" s="7"/>
      <c r="E17" s="17" t="s">
        <v>42</v>
      </c>
      <c r="F17" s="11" t="s">
        <v>43</v>
      </c>
      <c r="G17" s="16" t="s">
        <v>41</v>
      </c>
    </row>
    <row r="18" spans="1:7" ht="24" customHeight="1" x14ac:dyDescent="0.25">
      <c r="A18" s="5" t="s">
        <v>44</v>
      </c>
      <c r="B18" s="6"/>
      <c r="C18" s="6"/>
      <c r="E18" s="18" t="s">
        <v>45</v>
      </c>
      <c r="F18" s="11" t="s">
        <v>46</v>
      </c>
      <c r="G18" s="16" t="s">
        <v>47</v>
      </c>
    </row>
    <row r="19" spans="1:7" ht="21.95" customHeight="1" x14ac:dyDescent="0.25">
      <c r="A19" s="9" t="s">
        <v>48</v>
      </c>
      <c r="B19" s="19" t="s">
        <v>49</v>
      </c>
      <c r="C19" s="9" t="s">
        <v>50</v>
      </c>
      <c r="E19" s="20" t="s">
        <v>51</v>
      </c>
      <c r="F19" s="11" t="s">
        <v>52</v>
      </c>
      <c r="G19" s="16" t="s">
        <v>41</v>
      </c>
    </row>
    <row r="20" spans="1:7" ht="28.7" customHeight="1" x14ac:dyDescent="0.25">
      <c r="A20" s="21" t="s">
        <v>53</v>
      </c>
      <c r="B20" s="22">
        <v>0.5</v>
      </c>
      <c r="C20" s="23" t="s">
        <v>54</v>
      </c>
      <c r="E20" s="24" t="s">
        <v>55</v>
      </c>
      <c r="F20" s="11" t="s">
        <v>56</v>
      </c>
      <c r="G20" s="16" t="s">
        <v>57</v>
      </c>
    </row>
    <row r="21" spans="1:7" ht="19.899999999999999" customHeight="1" x14ac:dyDescent="0.25">
      <c r="A21" s="21" t="s">
        <v>58</v>
      </c>
      <c r="B21" s="22">
        <v>0.2</v>
      </c>
      <c r="C21" s="23" t="s">
        <v>59</v>
      </c>
      <c r="E21" s="25" t="s">
        <v>60</v>
      </c>
      <c r="F21" s="11" t="s">
        <v>61</v>
      </c>
      <c r="G21" s="16" t="s">
        <v>41</v>
      </c>
    </row>
    <row r="22" spans="1:7" ht="19.899999999999999" customHeight="1" x14ac:dyDescent="0.25">
      <c r="A22" s="21" t="s">
        <v>62</v>
      </c>
      <c r="B22" s="22">
        <v>52</v>
      </c>
      <c r="C22" s="23" t="s">
        <v>63</v>
      </c>
      <c r="E22" s="26" t="s">
        <v>64</v>
      </c>
      <c r="F22" s="11" t="s">
        <v>65</v>
      </c>
      <c r="G22" s="16" t="s">
        <v>66</v>
      </c>
    </row>
    <row r="23" spans="1:7" ht="19.899999999999999" customHeight="1" x14ac:dyDescent="0.25">
      <c r="A23" s="21" t="s">
        <v>67</v>
      </c>
      <c r="B23" s="22">
        <v>48</v>
      </c>
      <c r="C23" s="23" t="s">
        <v>68</v>
      </c>
      <c r="E23" s="27" t="s">
        <v>69</v>
      </c>
      <c r="F23" s="11" t="s">
        <v>70</v>
      </c>
      <c r="G23" s="16" t="s">
        <v>71</v>
      </c>
    </row>
    <row r="24" spans="1:7" ht="19.899999999999999" customHeight="1" x14ac:dyDescent="0.25">
      <c r="A24" s="21" t="s">
        <v>72</v>
      </c>
      <c r="B24" s="22">
        <v>15</v>
      </c>
      <c r="C24" s="23" t="s">
        <v>73</v>
      </c>
      <c r="E24" s="28" t="s">
        <v>74</v>
      </c>
      <c r="F24" s="11" t="s">
        <v>75</v>
      </c>
      <c r="G24" s="16" t="s">
        <v>76</v>
      </c>
    </row>
    <row r="25" spans="1:7" ht="21.95" customHeight="1" x14ac:dyDescent="0.25">
      <c r="A25" s="21" t="s">
        <v>77</v>
      </c>
      <c r="B25" s="22">
        <v>2</v>
      </c>
      <c r="C25" s="23" t="s">
        <v>78</v>
      </c>
      <c r="E25" s="13" t="s">
        <v>79</v>
      </c>
      <c r="F25" s="14"/>
      <c r="G25" s="14"/>
    </row>
    <row r="26" spans="1:7" ht="33.75" customHeight="1" x14ac:dyDescent="0.25">
      <c r="A26" s="21" t="s">
        <v>80</v>
      </c>
      <c r="B26" s="22">
        <v>2</v>
      </c>
      <c r="C26" s="23" t="s">
        <v>81</v>
      </c>
      <c r="E26" s="29" t="s">
        <v>82</v>
      </c>
      <c r="F26" s="11" t="s">
        <v>83</v>
      </c>
      <c r="G26" s="16" t="s">
        <v>84</v>
      </c>
    </row>
    <row r="27" spans="1:7" ht="33.75" customHeight="1" x14ac:dyDescent="0.25">
      <c r="A27" s="21" t="s">
        <v>85</v>
      </c>
      <c r="B27" s="22">
        <v>10</v>
      </c>
      <c r="C27" s="23" t="s">
        <v>86</v>
      </c>
      <c r="E27" s="30" t="s">
        <v>87</v>
      </c>
      <c r="F27" s="11" t="s">
        <v>88</v>
      </c>
      <c r="G27" s="16" t="s">
        <v>84</v>
      </c>
    </row>
    <row r="28" spans="1:7" ht="33.75" customHeight="1" x14ac:dyDescent="0.25">
      <c r="A28" s="21" t="s">
        <v>89</v>
      </c>
      <c r="B28" s="22">
        <v>18</v>
      </c>
      <c r="C28" s="23" t="s">
        <v>90</v>
      </c>
      <c r="E28" s="31" t="s">
        <v>91</v>
      </c>
      <c r="F28" s="11" t="s">
        <v>92</v>
      </c>
      <c r="G28" s="16" t="s">
        <v>93</v>
      </c>
    </row>
    <row r="29" spans="1:7" ht="28.7" customHeight="1" x14ac:dyDescent="0.25">
      <c r="A29" s="21" t="s">
        <v>94</v>
      </c>
      <c r="B29" s="22">
        <v>30</v>
      </c>
      <c r="C29" s="23" t="s">
        <v>95</v>
      </c>
      <c r="E29" s="32" t="s">
        <v>96</v>
      </c>
      <c r="F29" s="11" t="s">
        <v>97</v>
      </c>
      <c r="G29" s="16" t="s">
        <v>84</v>
      </c>
    </row>
    <row r="30" spans="1:7" ht="19.899999999999999" customHeight="1" x14ac:dyDescent="0.25">
      <c r="A30" s="21" t="s">
        <v>98</v>
      </c>
      <c r="B30" s="22">
        <v>15</v>
      </c>
      <c r="C30" s="23" t="s">
        <v>99</v>
      </c>
      <c r="E30" s="33" t="s">
        <v>100</v>
      </c>
      <c r="F30" s="11" t="s">
        <v>101</v>
      </c>
      <c r="G30" s="16" t="s">
        <v>102</v>
      </c>
    </row>
    <row r="31" spans="1:7" ht="19.899999999999999" customHeight="1" x14ac:dyDescent="0.25">
      <c r="A31" s="21" t="s">
        <v>103</v>
      </c>
      <c r="B31" s="22">
        <v>1</v>
      </c>
      <c r="C31" s="23" t="s">
        <v>104</v>
      </c>
      <c r="E31" s="34" t="s">
        <v>105</v>
      </c>
      <c r="F31" s="11" t="s">
        <v>106</v>
      </c>
      <c r="G31" s="16" t="s">
        <v>102</v>
      </c>
    </row>
    <row r="32" spans="1:7" ht="19.899999999999999" customHeight="1" x14ac:dyDescent="0.25">
      <c r="A32" s="21" t="s">
        <v>107</v>
      </c>
      <c r="B32" s="22">
        <v>2</v>
      </c>
      <c r="C32" s="23" t="s">
        <v>108</v>
      </c>
      <c r="E32" s="35" t="s">
        <v>109</v>
      </c>
      <c r="F32" s="11" t="s">
        <v>110</v>
      </c>
      <c r="G32" s="16" t="s">
        <v>111</v>
      </c>
    </row>
    <row r="33" spans="1:7" ht="19.899999999999999" customHeight="1" x14ac:dyDescent="0.25">
      <c r="A33" s="21" t="s">
        <v>112</v>
      </c>
      <c r="B33" s="22">
        <v>0.5</v>
      </c>
      <c r="C33" s="23" t="s">
        <v>113</v>
      </c>
      <c r="E33" s="36" t="s">
        <v>109</v>
      </c>
      <c r="F33" s="11" t="s">
        <v>114</v>
      </c>
      <c r="G33" s="16" t="s">
        <v>111</v>
      </c>
    </row>
    <row r="34" spans="1:7" ht="21.95" customHeight="1" x14ac:dyDescent="0.25">
      <c r="A34" s="21" t="s">
        <v>115</v>
      </c>
      <c r="B34" s="22">
        <v>7</v>
      </c>
      <c r="C34" s="23" t="s">
        <v>116</v>
      </c>
      <c r="E34" s="13" t="s">
        <v>117</v>
      </c>
      <c r="F34" s="14"/>
      <c r="G34" s="14"/>
    </row>
    <row r="35" spans="1:7" ht="19.899999999999999" customHeight="1" x14ac:dyDescent="0.25">
      <c r="A35" s="121" t="s">
        <v>118</v>
      </c>
      <c r="B35" s="122"/>
      <c r="C35" s="122"/>
      <c r="E35" s="37" t="s">
        <v>119</v>
      </c>
      <c r="F35" s="11" t="s">
        <v>120</v>
      </c>
      <c r="G35" s="16" t="s">
        <v>121</v>
      </c>
    </row>
    <row r="36" spans="1:7" ht="19.899999999999999" customHeight="1" x14ac:dyDescent="0.25">
      <c r="A36" s="7"/>
      <c r="B36" s="7"/>
      <c r="C36" s="7"/>
      <c r="E36" s="38" t="s">
        <v>122</v>
      </c>
      <c r="F36" s="11" t="s">
        <v>123</v>
      </c>
      <c r="G36" s="16" t="s">
        <v>121</v>
      </c>
    </row>
    <row r="37" spans="1:7" ht="24" customHeight="1" x14ac:dyDescent="0.25">
      <c r="A37" s="5" t="s">
        <v>124</v>
      </c>
      <c r="B37" s="6"/>
      <c r="C37" s="39"/>
      <c r="E37" s="40" t="s">
        <v>125</v>
      </c>
      <c r="F37" s="11" t="s">
        <v>126</v>
      </c>
      <c r="G37" s="16" t="s">
        <v>121</v>
      </c>
    </row>
    <row r="38" spans="1:7" ht="31.15" customHeight="1" x14ac:dyDescent="0.25">
      <c r="A38" s="41" t="s">
        <v>127</v>
      </c>
      <c r="B38" s="117" t="s">
        <v>128</v>
      </c>
      <c r="C38" s="118"/>
      <c r="E38" s="42" t="s">
        <v>129</v>
      </c>
      <c r="F38" s="11" t="s">
        <v>130</v>
      </c>
      <c r="G38" s="16" t="s">
        <v>121</v>
      </c>
    </row>
    <row r="39" spans="1:7" ht="19.899999999999999" customHeight="1" x14ac:dyDescent="0.25">
      <c r="A39" s="41" t="s">
        <v>131</v>
      </c>
      <c r="B39" s="117" t="s">
        <v>132</v>
      </c>
      <c r="C39" s="118"/>
      <c r="E39" s="43" t="s">
        <v>133</v>
      </c>
      <c r="F39" s="11" t="s">
        <v>134</v>
      </c>
      <c r="G39" s="16" t="s">
        <v>121</v>
      </c>
    </row>
    <row r="40" spans="1:7" ht="21.95" customHeight="1" x14ac:dyDescent="0.25">
      <c r="A40" s="41" t="s">
        <v>135</v>
      </c>
      <c r="B40" s="117" t="s">
        <v>136</v>
      </c>
      <c r="C40" s="118"/>
      <c r="E40" s="13" t="s">
        <v>137</v>
      </c>
      <c r="F40" s="14"/>
      <c r="G40" s="14"/>
    </row>
    <row r="41" spans="1:7" ht="19.899999999999999" customHeight="1" x14ac:dyDescent="0.25">
      <c r="A41" s="41" t="s">
        <v>138</v>
      </c>
      <c r="B41" s="117" t="s">
        <v>139</v>
      </c>
      <c r="C41" s="118"/>
      <c r="E41" s="20" t="s">
        <v>140</v>
      </c>
      <c r="F41" s="11" t="s">
        <v>141</v>
      </c>
      <c r="G41" s="16" t="s">
        <v>142</v>
      </c>
    </row>
    <row r="42" spans="1:7" ht="19.899999999999999" customHeight="1" x14ac:dyDescent="0.25">
      <c r="A42" s="41" t="s">
        <v>143</v>
      </c>
      <c r="B42" s="117" t="s">
        <v>144</v>
      </c>
      <c r="C42" s="118"/>
      <c r="E42" s="44" t="s">
        <v>145</v>
      </c>
      <c r="F42" s="11" t="s">
        <v>146</v>
      </c>
      <c r="G42" s="16" t="s">
        <v>147</v>
      </c>
    </row>
    <row r="43" spans="1:7" ht="28.7" customHeight="1" x14ac:dyDescent="0.25">
      <c r="E43" s="45" t="s">
        <v>148</v>
      </c>
      <c r="F43" s="11" t="s">
        <v>149</v>
      </c>
      <c r="G43" s="16" t="s">
        <v>150</v>
      </c>
    </row>
  </sheetData>
  <mergeCells count="16">
    <mergeCell ref="B42:C42"/>
    <mergeCell ref="B41:C41"/>
    <mergeCell ref="A7:C7"/>
    <mergeCell ref="A16:C16"/>
    <mergeCell ref="B40:C40"/>
    <mergeCell ref="A15:C15"/>
    <mergeCell ref="B39:C39"/>
    <mergeCell ref="A5:C5"/>
    <mergeCell ref="A8:C8"/>
    <mergeCell ref="A14:C14"/>
    <mergeCell ref="A6:C6"/>
    <mergeCell ref="A10:C10"/>
    <mergeCell ref="B38:C38"/>
    <mergeCell ref="A13:C13"/>
    <mergeCell ref="A9:C9"/>
    <mergeCell ref="A35:C35"/>
  </mergeCells>
  <hyperlinks>
    <hyperlink ref="E6" location="'Bias'!A1" display="Bias  ↗" xr:uid="{00000000-0004-0000-0000-000000000000}"/>
    <hyperlink ref="E7" location="'Compare'!A1" display="Compare  ↗" xr:uid="{00000000-0004-0000-0000-000001000000}"/>
    <hyperlink ref="E8" location="'Scorecard'!A1" display="Scorecard  ↗" xr:uid="{00000000-0004-0000-0000-000002000000}"/>
    <hyperlink ref="E9" location="'Risk &amp; Gold'!A1" display="Risk &amp; Gold  ↗" xr:uid="{00000000-0004-0000-0000-000003000000}"/>
    <hyperlink ref="E10" location="'Key Levels'!A1" display="Key Levels  ↗" xr:uid="{00000000-0004-0000-0000-000004000000}"/>
    <hyperlink ref="E11" location="'Hub'!A1" display="Hub  ↗" xr:uid="{00000000-0004-0000-0000-000005000000}"/>
    <hyperlink ref="E12" location="'Journal'!A1" display="Journal  ↗" xr:uid="{00000000-0004-0000-0000-000006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  <pageSetUpPr fitToPage="1"/>
  </sheetPr>
  <dimension ref="A1:Q1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5" sqref="F5"/>
    </sheetView>
  </sheetViews>
  <sheetFormatPr defaultColWidth="8.7109375" defaultRowHeight="15" x14ac:dyDescent="0.25"/>
  <cols>
    <col min="1" max="1" width="10" customWidth="1"/>
    <col min="2" max="2" width="7" customWidth="1"/>
    <col min="3" max="3" width="13" customWidth="1"/>
    <col min="4" max="4" width="9" customWidth="1"/>
    <col min="5" max="6" width="13" customWidth="1"/>
    <col min="7" max="7" width="11" customWidth="1"/>
    <col min="8" max="8" width="13" customWidth="1"/>
    <col min="9" max="9" width="10" customWidth="1"/>
    <col min="10" max="11" width="13" customWidth="1"/>
    <col min="12" max="12" width="16" customWidth="1"/>
    <col min="13" max="13" width="12" customWidth="1"/>
    <col min="14" max="15" width="13" customWidth="1"/>
    <col min="16" max="16" width="15" customWidth="1"/>
    <col min="17" max="17" width="44" customWidth="1"/>
  </cols>
  <sheetData>
    <row r="1" spans="1:17" ht="33.950000000000003" customHeight="1" x14ac:dyDescent="0.25">
      <c r="A1" s="2" t="s">
        <v>151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 t="s">
        <v>152</v>
      </c>
    </row>
    <row r="2" spans="1:17" ht="20.100000000000001" customHeight="1" x14ac:dyDescent="0.25">
      <c r="A2" s="4" t="s">
        <v>153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8.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44.1" customHeight="1" x14ac:dyDescent="0.25">
      <c r="A4" s="48" t="s">
        <v>154</v>
      </c>
      <c r="B4" s="48" t="s">
        <v>155</v>
      </c>
      <c r="C4" s="48" t="s">
        <v>156</v>
      </c>
      <c r="D4" s="48" t="s">
        <v>157</v>
      </c>
      <c r="E4" s="48" t="s">
        <v>158</v>
      </c>
      <c r="F4" s="48" t="s">
        <v>159</v>
      </c>
      <c r="G4" s="48" t="s">
        <v>160</v>
      </c>
      <c r="H4" s="48" t="s">
        <v>161</v>
      </c>
      <c r="I4" s="48" t="s">
        <v>162</v>
      </c>
      <c r="J4" s="48" t="s">
        <v>163</v>
      </c>
      <c r="K4" s="48" t="s">
        <v>164</v>
      </c>
      <c r="L4" s="48" t="s">
        <v>165</v>
      </c>
      <c r="M4" s="48" t="s">
        <v>166</v>
      </c>
      <c r="N4" s="48" t="s">
        <v>167</v>
      </c>
      <c r="O4" s="48" t="s">
        <v>168</v>
      </c>
      <c r="P4" s="48" t="s">
        <v>169</v>
      </c>
      <c r="Q4" s="48" t="s">
        <v>170</v>
      </c>
    </row>
    <row r="5" spans="1:17" ht="31.15" customHeight="1" x14ac:dyDescent="0.25">
      <c r="A5" s="49" t="s">
        <v>171</v>
      </c>
      <c r="B5" s="50" t="s">
        <v>172</v>
      </c>
      <c r="C5" s="50" t="s">
        <v>173</v>
      </c>
      <c r="D5" s="51">
        <f>IFERROR(INDEX(Scorecard!$Q$5:$Q$12,MATCH(B5,Scorecard!$A$5:$A$12,0)),"")</f>
        <v>-1</v>
      </c>
      <c r="E5" s="51">
        <f>IFERROR(INDEX(Scorecard!$Q$5:$Q$12,MATCH(C5,Scorecard!$A$5:$A$12,0)),"")</f>
        <v>3</v>
      </c>
      <c r="F5" s="52">
        <f>IF(OR(D5="",E5=""),"",D5-E5)</f>
        <v>-4</v>
      </c>
      <c r="G5" s="53">
        <f>IFERROR((INDEX(Scorecard!$K$5:$K$12,MATCH(B5,Scorecard!$A$5:$A$12,0))-INDEX(Scorecard!$K$5:$K$12,MATCH(C5,Scorecard!$A$5:$A$12,0)))*100,"")</f>
        <v>-209.99999999999997</v>
      </c>
      <c r="H5" s="53">
        <f>IFERROR((INDEX(Scorecard!$L$5:$L$12,MATCH(B5,Scorecard!$A$5:$A$12,0))-INDEX(Scorecard!$L$5:$L$12,MATCH(C5,Scorecard!$A$5:$A$12,0)))*100,"")</f>
        <v>-185</v>
      </c>
      <c r="I5" s="54">
        <f>IF(OR(G5="",H5=""),"",ROUND(G5-H5,1))</f>
        <v>-25</v>
      </c>
      <c r="J5" s="52" t="str">
        <f>IF(F5="","",IF(F5&gt;='Start Here'!$B$26,"LONG",IF(F5&lt;=-'Start Here'!$B$26,"SHORT","FLAT")))</f>
        <v>SHORT</v>
      </c>
      <c r="K5" s="52" t="str">
        <f>IF(J5="LONG",IF(I5&gt;='Start Here'!$B$27,"YES","NO"),IF(J5="SHORT",IF(I5&lt;=-'Start Here'!$B$27,"YES","NO"),"—"))</f>
        <v>YES</v>
      </c>
      <c r="L5" s="52" t="str">
        <f>IF(AND('Risk &amp; Gold'!$B$8="RISK-OFF",OR(AND(C5="JPY",J5="LONG"),AND(B5="JPY",J5="SHORT"))),"YES: JPY haven","—")</f>
        <v>—</v>
      </c>
      <c r="M5" s="55" t="str">
        <f>IF(F5="","ENTER DATA",IF(L5&lt;&gt;"—","FLAT",IF(K5="YES",J5,"FLAT")))</f>
        <v>SHORT</v>
      </c>
      <c r="N5" s="56">
        <v>46284</v>
      </c>
      <c r="O5" s="57">
        <f>IF(N5="","",N5+'Start Here'!$B$34)</f>
        <v>46291</v>
      </c>
      <c r="P5" s="55" t="str">
        <f ca="1">IF(N5="","NOT REVIEWED",IF(TODAY()&gt;O5,"EXPIRED","ACTIVE"))</f>
        <v>ACTIVE</v>
      </c>
      <c r="Q5" s="58" t="s">
        <v>174</v>
      </c>
    </row>
    <row r="6" spans="1:17" ht="18.600000000000001" customHeight="1" x14ac:dyDescent="0.25">
      <c r="A6" s="49" t="s">
        <v>175</v>
      </c>
      <c r="B6" s="50" t="s">
        <v>176</v>
      </c>
      <c r="C6" s="50" t="s">
        <v>173</v>
      </c>
      <c r="D6" s="51">
        <f>IFERROR(INDEX(Scorecard!$Q$5:$Q$12,MATCH(B6,Scorecard!$A$5:$A$12,0)),"")</f>
        <v>-1</v>
      </c>
      <c r="E6" s="51">
        <f>IFERROR(INDEX(Scorecard!$Q$5:$Q$12,MATCH(C6,Scorecard!$A$5:$A$12,0)),"")</f>
        <v>3</v>
      </c>
      <c r="F6" s="52">
        <f>IF(OR(D6="",E6=""),"",D6-E6)</f>
        <v>-4</v>
      </c>
      <c r="G6" s="53">
        <f>IFERROR((INDEX(Scorecard!$K$5:$K$12,MATCH(B6,Scorecard!$A$5:$A$12,0))-INDEX(Scorecard!$K$5:$K$12,MATCH(C6,Scorecard!$A$5:$A$12,0)))*100,"")</f>
        <v>-29.999999999999982</v>
      </c>
      <c r="H6" s="53">
        <f>IFERROR((INDEX(Scorecard!$L$5:$L$12,MATCH(B6,Scorecard!$A$5:$A$12,0))-INDEX(Scorecard!$L$5:$L$12,MATCH(C6,Scorecard!$A$5:$A$12,0)))*100,"")</f>
        <v>0</v>
      </c>
      <c r="I6" s="54">
        <f>IF(OR(G6="",H6=""),"",ROUND(G6-H6,1))</f>
        <v>-30</v>
      </c>
      <c r="J6" s="52" t="str">
        <f>IF(F6="","",IF(F6&gt;='Start Here'!$B$26,"LONG",IF(F6&lt;=-'Start Here'!$B$26,"SHORT","FLAT")))</f>
        <v>SHORT</v>
      </c>
      <c r="K6" s="52" t="str">
        <f>IF(J6="LONG",IF(I6&gt;='Start Here'!$B$27,"YES","NO"),IF(J6="SHORT",IF(I6&lt;=-'Start Here'!$B$27,"YES","NO"),"—"))</f>
        <v>YES</v>
      </c>
      <c r="L6" s="52" t="str">
        <f>IF(AND('Risk &amp; Gold'!$B$8="RISK-OFF",OR(AND(C6="JPY",J6="LONG"),AND(B6="JPY",J6="SHORT"))),"YES: JPY haven","—")</f>
        <v>—</v>
      </c>
      <c r="M6" s="55" t="str">
        <f>IF(F6="","ENTER DATA",IF(L6&lt;&gt;"—","FLAT",IF(K6="YES",J6,"FLAT")))</f>
        <v>SHORT</v>
      </c>
      <c r="N6" s="56"/>
      <c r="O6" s="57" t="str">
        <f>IF(N6="","",N6+'Start Here'!$B$34)</f>
        <v/>
      </c>
      <c r="P6" s="55" t="str">
        <f ca="1">IF(N6="","NOT REVIEWED",IF(TODAY()&gt;O6,"EXPIRED","ACTIVE"))</f>
        <v>NOT REVIEWED</v>
      </c>
      <c r="Q6" s="58"/>
    </row>
    <row r="7" spans="1:17" ht="18.600000000000001" customHeight="1" x14ac:dyDescent="0.25">
      <c r="A7" s="49" t="s">
        <v>177</v>
      </c>
      <c r="B7" s="50" t="s">
        <v>173</v>
      </c>
      <c r="C7" s="50" t="s">
        <v>178</v>
      </c>
      <c r="D7" s="51">
        <f>IFERROR(INDEX(Scorecard!$Q$5:$Q$12,MATCH(B7,Scorecard!$A$5:$A$12,0)),"")</f>
        <v>3</v>
      </c>
      <c r="E7" s="51">
        <f>IFERROR(INDEX(Scorecard!$Q$5:$Q$12,MATCH(C7,Scorecard!$A$5:$A$12,0)),"")</f>
        <v>1</v>
      </c>
      <c r="F7" s="52">
        <f>IF(OR(D7="",E7=""),"",D7-E7)</f>
        <v>2</v>
      </c>
      <c r="G7" s="53">
        <f>IFERROR((INDEX(Scorecard!$K$5:$K$12,MATCH(B7,Scorecard!$A$5:$A$12,0))-INDEX(Scorecard!$K$5:$K$12,MATCH(C7,Scorecard!$A$5:$A$12,0)))*100,"")</f>
        <v>309.99999999999994</v>
      </c>
      <c r="H7" s="53">
        <f>IFERROR((INDEX(Scorecard!$L$5:$L$12,MATCH(B7,Scorecard!$A$5:$A$12,0))-INDEX(Scorecard!$L$5:$L$12,MATCH(C7,Scorecard!$A$5:$A$12,0)))*100,"")</f>
        <v>300</v>
      </c>
      <c r="I7" s="54">
        <f>IF(OR(G7="",H7=""),"",ROUND(G7-H7,1))</f>
        <v>10</v>
      </c>
      <c r="J7" s="52" t="str">
        <f>IF(F7="","",IF(F7&gt;='Start Here'!$B$26,"LONG",IF(F7&lt;=-'Start Here'!$B$26,"SHORT","FLAT")))</f>
        <v>LONG</v>
      </c>
      <c r="K7" s="52" t="str">
        <f>IF(J7="LONG",IF(I7&gt;='Start Here'!$B$27,"YES","NO"),IF(J7="SHORT",IF(I7&lt;=-'Start Here'!$B$27,"YES","NO"),"—"))</f>
        <v>YES</v>
      </c>
      <c r="L7" s="52" t="str">
        <f>IF(AND('Risk &amp; Gold'!$B$8="RISK-OFF",OR(AND(C7="JPY",J7="LONG"),AND(B7="JPY",J7="SHORT"))),"YES: JPY haven","—")</f>
        <v>—</v>
      </c>
      <c r="M7" s="55" t="str">
        <f>IF(F7="","ENTER DATA",IF(L7&lt;&gt;"—","FLAT",IF(K7="YES",J7,"FLAT")))</f>
        <v>LONG</v>
      </c>
      <c r="N7" s="56"/>
      <c r="O7" s="57" t="str">
        <f>IF(N7="","",N7+'Start Here'!$B$34)</f>
        <v/>
      </c>
      <c r="P7" s="55" t="str">
        <f ca="1">IF(N7="","NOT REVIEWED",IF(TODAY()&gt;O7,"EXPIRED","ACTIVE"))</f>
        <v>NOT REVIEWED</v>
      </c>
      <c r="Q7" s="58"/>
    </row>
    <row r="8" spans="1:17" ht="43.9" customHeight="1" x14ac:dyDescent="0.25">
      <c r="A8" s="49" t="s">
        <v>179</v>
      </c>
      <c r="B8" s="50" t="s">
        <v>180</v>
      </c>
      <c r="C8" s="50" t="s">
        <v>173</v>
      </c>
      <c r="D8" s="59" t="s">
        <v>69</v>
      </c>
      <c r="E8" s="59" t="s">
        <v>69</v>
      </c>
      <c r="F8" s="51">
        <f>'Risk &amp; Gold'!E17</f>
        <v>0</v>
      </c>
      <c r="G8" s="59" t="s">
        <v>69</v>
      </c>
      <c r="H8" s="59" t="s">
        <v>69</v>
      </c>
      <c r="I8" s="59" t="s">
        <v>69</v>
      </c>
      <c r="J8" s="51" t="str">
        <f>'Risk &amp; Gold'!B18</f>
        <v>FLAT</v>
      </c>
      <c r="K8" s="59" t="s">
        <v>69</v>
      </c>
      <c r="L8" s="59" t="s">
        <v>69</v>
      </c>
      <c r="M8" s="55" t="str">
        <f>'Risk &amp; Gold'!B18</f>
        <v>FLAT</v>
      </c>
      <c r="N8" s="56">
        <v>46284</v>
      </c>
      <c r="O8" s="57">
        <f>IF(N8="","",N8+'Start Here'!$B$34)</f>
        <v>46291</v>
      </c>
      <c r="P8" s="55" t="str">
        <f ca="1">IF(N8="","NOT REVIEWED",IF(TODAY()&gt;O8,"EXPIRED","ACTIVE"))</f>
        <v>ACTIVE</v>
      </c>
      <c r="Q8" s="58" t="s">
        <v>181</v>
      </c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4" customHeight="1" x14ac:dyDescent="0.25">
      <c r="A10" s="5" t="s">
        <v>182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0"/>
      <c r="N10" s="60"/>
      <c r="O10" s="60"/>
      <c r="P10" s="60"/>
      <c r="Q10" s="60"/>
    </row>
    <row r="11" spans="1:17" ht="18.600000000000001" customHeight="1" x14ac:dyDescent="0.25">
      <c r="A11" s="123" t="s">
        <v>183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</row>
    <row r="12" spans="1:17" ht="18.600000000000001" customHeight="1" x14ac:dyDescent="0.25">
      <c r="A12" s="123" t="s">
        <v>184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8.600000000000001" customHeight="1" x14ac:dyDescent="0.25">
      <c r="A13" s="123" t="s">
        <v>185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</row>
    <row r="14" spans="1:17" ht="18.600000000000001" customHeight="1" x14ac:dyDescent="0.25">
      <c r="A14" s="123" t="s">
        <v>186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</row>
    <row r="15" spans="1:17" ht="18.600000000000001" customHeight="1" x14ac:dyDescent="0.25">
      <c r="A15" s="123" t="s">
        <v>187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</row>
  </sheetData>
  <mergeCells count="5">
    <mergeCell ref="A14:Q14"/>
    <mergeCell ref="A12:Q12"/>
    <mergeCell ref="A15:Q15"/>
    <mergeCell ref="A11:Q11"/>
    <mergeCell ref="A13:Q13"/>
  </mergeCells>
  <conditionalFormatting sqref="J5:J8">
    <cfRule type="expression" dxfId="63" priority="2">
      <formula>ISNUMBER(SEARCH("LONG",J5))</formula>
    </cfRule>
    <cfRule type="expression" dxfId="62" priority="3">
      <formula>ISNUMBER(SEARCH("SHORT",J5))</formula>
    </cfRule>
    <cfRule type="expression" dxfId="61" priority="4">
      <formula>ISNUMBER(SEARCH("FLAT",J5))</formula>
    </cfRule>
    <cfRule type="expression" dxfId="60" priority="11" stopIfTrue="1">
      <formula>ISNUMBER(SEARCH("ENTER DATA",J5))</formula>
    </cfRule>
  </conditionalFormatting>
  <conditionalFormatting sqref="K5:K7">
    <cfRule type="expression" dxfId="59" priority="12">
      <formula>ISNUMBER(SEARCH("NO",K5))</formula>
    </cfRule>
  </conditionalFormatting>
  <conditionalFormatting sqref="M5:M8">
    <cfRule type="expression" dxfId="58" priority="5">
      <formula>ISNUMBER(SEARCH("LONG",M5))</formula>
    </cfRule>
    <cfRule type="expression" dxfId="57" priority="6">
      <formula>ISNUMBER(SEARCH("SHORT",M5))</formula>
    </cfRule>
    <cfRule type="expression" dxfId="56" priority="7">
      <formula>ISNUMBER(SEARCH("FLAT",M5))</formula>
    </cfRule>
    <cfRule type="expression" dxfId="55" priority="13" stopIfTrue="1">
      <formula>ISNUMBER(SEARCH("ENTER DATA",M5))</formula>
    </cfRule>
  </conditionalFormatting>
  <conditionalFormatting sqref="P5:P8">
    <cfRule type="expression" dxfId="54" priority="8">
      <formula>ISNUMBER(SEARCH("EXPIRED",P5))</formula>
    </cfRule>
    <cfRule type="expression" dxfId="53" priority="9">
      <formula>ISNUMBER(SEARCH("ACTIVE",P5))</formula>
    </cfRule>
    <cfRule type="expression" dxfId="52" priority="10">
      <formula>ISNUMBER(SEARCH("NOT REVIEWED",P5))</formula>
    </cfRule>
  </conditionalFormatting>
  <hyperlinks>
    <hyperlink ref="Q1" location="'Start Here'!A1" display="← Start Here" xr:uid="{00000000-0004-0000-0100-000000000000}"/>
  </hyperlink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  <pageSetUpPr fitToPage="1"/>
  </sheetPr>
  <dimension ref="A1:L27"/>
  <sheetViews>
    <sheetView showGridLines="0" zoomScaleNormal="100" workbookViewId="0">
      <pane ySplit="2" topLeftCell="A3" activePane="bottomLeft" state="frozen"/>
      <selection pane="bottomLeft" activeCell="A23" sqref="A23"/>
    </sheetView>
  </sheetViews>
  <sheetFormatPr defaultColWidth="8.7109375" defaultRowHeight="15" x14ac:dyDescent="0.25"/>
  <cols>
    <col min="1" max="1" width="35.140625" customWidth="1"/>
    <col min="2" max="2" width="12" customWidth="1"/>
    <col min="3" max="3" width="9" customWidth="1"/>
    <col min="4" max="4" width="13" customWidth="1"/>
    <col min="5" max="5" width="12" customWidth="1"/>
    <col min="6" max="6" width="13.28515625" customWidth="1"/>
    <col min="7" max="7" width="11" customWidth="1"/>
    <col min="8" max="8" width="27.5703125" customWidth="1"/>
    <col min="9" max="9" width="42" customWidth="1"/>
    <col min="11" max="11" width="27" customWidth="1"/>
    <col min="12" max="12" width="22.85546875" customWidth="1"/>
  </cols>
  <sheetData>
    <row r="1" spans="1:12" ht="33.950000000000003" customHeight="1" x14ac:dyDescent="0.25">
      <c r="A1" s="2" t="s">
        <v>188</v>
      </c>
      <c r="B1" s="3"/>
      <c r="C1" s="3"/>
      <c r="D1" s="3"/>
      <c r="E1" s="3"/>
      <c r="F1" s="3"/>
      <c r="G1" s="3"/>
      <c r="H1" s="3"/>
      <c r="I1" s="3"/>
      <c r="J1" s="46"/>
      <c r="K1" s="46"/>
      <c r="L1" s="47" t="s">
        <v>152</v>
      </c>
    </row>
    <row r="2" spans="1:12" ht="20.100000000000001" customHeight="1" x14ac:dyDescent="0.25">
      <c r="A2" s="4" t="s">
        <v>189</v>
      </c>
      <c r="J2" s="7"/>
      <c r="K2" s="7"/>
      <c r="L2" s="7"/>
    </row>
    <row r="3" spans="1:12" ht="18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61" t="s">
        <v>190</v>
      </c>
      <c r="L3" s="7"/>
    </row>
    <row r="4" spans="1:12" ht="31.15" customHeight="1" x14ac:dyDescent="0.25">
      <c r="A4" s="8" t="s">
        <v>191</v>
      </c>
      <c r="B4" s="48" t="str">
        <f>L4</f>
        <v>USD</v>
      </c>
      <c r="C4" s="48" t="s">
        <v>192</v>
      </c>
      <c r="D4" s="48" t="s">
        <v>193</v>
      </c>
      <c r="E4" s="48" t="str">
        <f>L5</f>
        <v>GBP</v>
      </c>
      <c r="F4" s="48" t="s">
        <v>194</v>
      </c>
      <c r="G4" s="48" t="s">
        <v>195</v>
      </c>
      <c r="H4" s="48" t="s">
        <v>196</v>
      </c>
      <c r="I4" s="48" t="s">
        <v>197</v>
      </c>
      <c r="J4" s="7"/>
      <c r="K4" s="62" t="s">
        <v>198</v>
      </c>
      <c r="L4" s="63" t="s">
        <v>173</v>
      </c>
    </row>
    <row r="5" spans="1:12" ht="21.2" customHeight="1" x14ac:dyDescent="0.25">
      <c r="A5" s="64" t="s">
        <v>199</v>
      </c>
      <c r="B5" s="53">
        <f>IFERROR(IF(INDEX(Scorecard!$M$5:$M$12,MATCH($L$4,Scorecard!$A$5:$A$12,0))="","",INDEX(Scorecard!$M$5:$M$12,MATCH($L$4,Scorecard!$A$5:$A$12,0))),"")</f>
        <v>1</v>
      </c>
      <c r="C5" s="65" t="str">
        <f>IF(F5="","",REPT("■",MIN(6,ROUND(MAX(0,F5)*1,0))))</f>
        <v>■</v>
      </c>
      <c r="D5" s="66" t="str">
        <f>IF(F5="","",REPT("■",MIN(6,ROUND(MAX(0,-F5)*1,0))))</f>
        <v/>
      </c>
      <c r="E5" s="53">
        <f>IFERROR(IF(INDEX(Scorecard!$M$5:$M$12,MATCH($L$5,Scorecard!$A$5:$A$12,0))="","",INDEX(Scorecard!$M$5:$M$12,MATCH($L$5,Scorecard!$A$5:$A$12,0))),"")</f>
        <v>0</v>
      </c>
      <c r="F5" s="67">
        <f t="shared" ref="F5:F12" si="0">IF(OR(B5="",E5=""),"",B5-E5)</f>
        <v>1</v>
      </c>
      <c r="G5" s="55" t="str">
        <f t="shared" ref="G5:G11" si="1">IF(F5="","",IF(ABS(F5)&lt;0.1,"LEVEL",IF(F5&gt;0,$L$4,$L$5)))</f>
        <v>USD</v>
      </c>
      <c r="H5" s="68" t="str">
        <f t="shared" ref="H5:H11" si="2">IF(OR(G5="",G5="LEVEL",$L$9=""),"—",IF(G5=$L$9,"BACKS THE CALL","AGAINST"))</f>
        <v>BACKS THE CALL</v>
      </c>
      <c r="I5" s="69" t="s">
        <v>200</v>
      </c>
      <c r="J5" s="7"/>
      <c r="K5" s="62" t="s">
        <v>201</v>
      </c>
      <c r="L5" s="63" t="s">
        <v>176</v>
      </c>
    </row>
    <row r="6" spans="1:12" ht="18.600000000000001" customHeight="1" x14ac:dyDescent="0.25">
      <c r="A6" s="64" t="s">
        <v>202</v>
      </c>
      <c r="B6" s="53">
        <f>IFERROR(IF(INDEX(Scorecard!$N$5:$N$12,MATCH($L$4,Scorecard!$A$5:$A$12,0))="","",INDEX(Scorecard!$N$5:$N$12,MATCH($L$4,Scorecard!$A$5:$A$12,0))),"")</f>
        <v>0</v>
      </c>
      <c r="C6" s="65" t="str">
        <f>IF(F6="","",REPT("■",MIN(6,ROUND(MAX(0,F6)*1,0))))</f>
        <v>■</v>
      </c>
      <c r="D6" s="66" t="str">
        <f>IF(F6="","",REPT("■",MIN(6,ROUND(MAX(0,-F6)*1,0))))</f>
        <v/>
      </c>
      <c r="E6" s="53">
        <f>IFERROR(IF(INDEX(Scorecard!$N$5:$N$12,MATCH($L$5,Scorecard!$A$5:$A$12,0))="","",INDEX(Scorecard!$N$5:$N$12,MATCH($L$5,Scorecard!$A$5:$A$12,0))),"")</f>
        <v>-1</v>
      </c>
      <c r="F6" s="67">
        <f t="shared" si="0"/>
        <v>1</v>
      </c>
      <c r="G6" s="55" t="str">
        <f t="shared" si="1"/>
        <v>USD</v>
      </c>
      <c r="H6" s="68" t="str">
        <f t="shared" si="2"/>
        <v>BACKS THE CALL</v>
      </c>
      <c r="I6" s="69" t="s">
        <v>203</v>
      </c>
      <c r="J6" s="7"/>
      <c r="K6" s="62" t="s">
        <v>154</v>
      </c>
      <c r="L6" s="55" t="str">
        <f>L4&amp;L5</f>
        <v>USDGBP</v>
      </c>
    </row>
    <row r="7" spans="1:12" ht="18.600000000000001" customHeight="1" x14ac:dyDescent="0.25">
      <c r="A7" s="64" t="s">
        <v>204</v>
      </c>
      <c r="B7" s="53">
        <f>IFERROR(IF(INDEX(Scorecard!$O$5:$O$12,MATCH($L$4,Scorecard!$A$5:$A$12,0))="","",INDEX(Scorecard!$O$5:$O$12,MATCH($L$4,Scorecard!$A$5:$A$12,0))),"")</f>
        <v>1</v>
      </c>
      <c r="C7" s="65" t="str">
        <f>IF(F7="","",REPT("■",MIN(6,ROUND(MAX(0,F7)*1,0))))</f>
        <v>■</v>
      </c>
      <c r="D7" s="66" t="str">
        <f>IF(F7="","",REPT("■",MIN(6,ROUND(MAX(0,-F7)*1,0))))</f>
        <v/>
      </c>
      <c r="E7" s="53">
        <f>IFERROR(IF(INDEX(Scorecard!$O$5:$O$12,MATCH($L$5,Scorecard!$A$5:$A$12,0))="","",INDEX(Scorecard!$O$5:$O$12,MATCH($L$5,Scorecard!$A$5:$A$12,0))),"")</f>
        <v>0</v>
      </c>
      <c r="F7" s="67">
        <f t="shared" si="0"/>
        <v>1</v>
      </c>
      <c r="G7" s="55" t="str">
        <f t="shared" si="1"/>
        <v>USD</v>
      </c>
      <c r="H7" s="68" t="str">
        <f t="shared" si="2"/>
        <v>BACKS THE CALL</v>
      </c>
      <c r="I7" s="69" t="s">
        <v>205</v>
      </c>
      <c r="J7" s="7"/>
      <c r="K7" s="62" t="s">
        <v>206</v>
      </c>
      <c r="L7" s="55" t="str">
        <f>IFERROR(IF(OR(INDEX(Scorecard!$Q$5:$Q$12,MATCH($L$4,Scorecard!$A$5:$A$12,0))="",INDEX(Scorecard!$Q$5:$Q$12,MATCH($L$5,Scorecard!$A$5:$A$12,0))=""),"ENTER DATA",IF(INDEX(Scorecard!$Q$5:$Q$12,MATCH($L$4,Scorecard!$A$5:$A$12,0))-INDEX(Scorecard!$Q$5:$Q$12,MATCH($L$5,Scorecard!$A$5:$A$12,0))&gt;='Start Here'!$B$26,"LONG",IF(INDEX(Scorecard!$Q$5:$Q$12,MATCH($L$4,Scorecard!$A$5:$A$12,0))-INDEX(Scorecard!$Q$5:$Q$12,MATCH($L$5,Scorecard!$A$5:$A$12,0))&lt;=-'Start Here'!$B$26,"SHORT","FLAT"))),"PICK CURRENCIES")</f>
        <v>LONG</v>
      </c>
    </row>
    <row r="8" spans="1:12" ht="18.600000000000001" customHeight="1" x14ac:dyDescent="0.25">
      <c r="A8" s="64" t="s">
        <v>207</v>
      </c>
      <c r="B8" s="53">
        <f>IFERROR(IF(INDEX(Scorecard!$P$5:$P$12,MATCH($L$4,Scorecard!$A$5:$A$12,0))="","",INDEX(Scorecard!$P$5:$P$12,MATCH($L$4,Scorecard!$A$5:$A$12,0))),"")</f>
        <v>1</v>
      </c>
      <c r="C8" s="65" t="str">
        <f>IF(F8="","",REPT("■",MIN(6,ROUND(MAX(0,F8)*1,0))))</f>
        <v>■</v>
      </c>
      <c r="D8" s="66" t="str">
        <f>IF(F8="","",REPT("■",MIN(6,ROUND(MAX(0,-F8)*1,0))))</f>
        <v/>
      </c>
      <c r="E8" s="53">
        <f>IFERROR(IF(INDEX(Scorecard!$P$5:$P$12,MATCH($L$5,Scorecard!$A$5:$A$12,0))="","",INDEX(Scorecard!$P$5:$P$12,MATCH($L$5,Scorecard!$A$5:$A$12,0))),"")</f>
        <v>0</v>
      </c>
      <c r="F8" s="67">
        <f t="shared" si="0"/>
        <v>1</v>
      </c>
      <c r="G8" s="55" t="str">
        <f t="shared" si="1"/>
        <v>USD</v>
      </c>
      <c r="H8" s="68" t="str">
        <f t="shared" si="2"/>
        <v>BACKS THE CALL</v>
      </c>
      <c r="I8" s="69" t="s">
        <v>208</v>
      </c>
      <c r="J8" s="7"/>
      <c r="K8" s="62" t="s">
        <v>209</v>
      </c>
      <c r="L8" s="51" t="str">
        <f>IFERROR(INDEX(Bias!$M$5:$M$8,MATCH(L6,Bias!$A$5:$A$8,0)),"not on board")</f>
        <v>not on board</v>
      </c>
    </row>
    <row r="9" spans="1:12" ht="18.600000000000001" customHeight="1" x14ac:dyDescent="0.25">
      <c r="A9" s="64" t="s">
        <v>210</v>
      </c>
      <c r="B9" s="70">
        <f>IFERROR(IF(INDEX(Scorecard!$K$5:$K$12,MATCH($L$4,Scorecard!$A$5:$A$12,0))="","",INDEX(Scorecard!$K$5:$K$12,MATCH($L$4,Scorecard!$A$5:$A$12,0))),"")</f>
        <v>4.0999999999999996</v>
      </c>
      <c r="C9" s="65" t="str">
        <f>IF(F9="","",REPT("■",MIN(6,ROUND(MAX(0,F9)*2,0))))</f>
        <v>■</v>
      </c>
      <c r="D9" s="66" t="str">
        <f>IF(F9="","",REPT("■",MIN(6,ROUND(MAX(0,-F9)*2,0))))</f>
        <v/>
      </c>
      <c r="E9" s="70">
        <f>IFERROR(IF(INDEX(Scorecard!$K$5:$K$12,MATCH($L$5,Scorecard!$A$5:$A$12,0))="","",INDEX(Scorecard!$K$5:$K$12,MATCH($L$5,Scorecard!$A$5:$A$12,0))),"")</f>
        <v>3.8</v>
      </c>
      <c r="F9" s="71">
        <f t="shared" si="0"/>
        <v>0.29999999999999982</v>
      </c>
      <c r="G9" s="55" t="str">
        <f t="shared" si="1"/>
        <v>USD</v>
      </c>
      <c r="H9" s="68" t="str">
        <f t="shared" si="2"/>
        <v>BACKS THE CALL</v>
      </c>
      <c r="I9" s="69" t="s">
        <v>211</v>
      </c>
      <c r="J9" s="7"/>
      <c r="K9" s="62" t="s">
        <v>212</v>
      </c>
      <c r="L9" s="55" t="str">
        <f>IF(L7="LONG",L4,IF(L7="SHORT",L5,""))</f>
        <v>USD</v>
      </c>
    </row>
    <row r="10" spans="1:12" ht="18.600000000000001" customHeight="1" x14ac:dyDescent="0.25">
      <c r="A10" s="64" t="s">
        <v>213</v>
      </c>
      <c r="B10" s="70">
        <f>IFERROR(IF(OR(INDEX(Scorecard!$K$5:$K$12,MATCH($L$4,Scorecard!$A$5:$A$12,0))="",INDEX(Scorecard!$E$5:$E$12,MATCH($L$4,Scorecard!$A$5:$A$12,0))=""),"",INDEX(Scorecard!$K$5:$K$12,MATCH($L$4,Scorecard!$A$5:$A$12,0))-INDEX(Scorecard!$E$5:$E$12,MATCH($L$4,Scorecard!$A$5:$A$12,0))),"")</f>
        <v>1.0999999999999996</v>
      </c>
      <c r="C10" s="65" t="str">
        <f>IF(F10="","",REPT("■",MIN(6,ROUND(MAX(0,F10)*2,0))))</f>
        <v>■</v>
      </c>
      <c r="D10" s="66" t="str">
        <f>IF(F10="","",REPT("■",MIN(6,ROUND(MAX(0,-F10)*2,0))))</f>
        <v/>
      </c>
      <c r="E10" s="70">
        <f>IFERROR(IF(OR(INDEX(Scorecard!$K$5:$K$12,MATCH($L$5,Scorecard!$A$5:$A$12,0))="",INDEX(Scorecard!$E$5:$E$12,MATCH($L$5,Scorecard!$A$5:$A$12,0))=""),"",INDEX(Scorecard!$K$5:$K$12,MATCH($L$5,Scorecard!$A$5:$A$12,0))-INDEX(Scorecard!$E$5:$E$12,MATCH($L$5,Scorecard!$A$5:$A$12,0))),"")</f>
        <v>0.39999999999999991</v>
      </c>
      <c r="F10" s="71">
        <f t="shared" si="0"/>
        <v>0.69999999999999973</v>
      </c>
      <c r="G10" s="55" t="str">
        <f t="shared" si="1"/>
        <v>USD</v>
      </c>
      <c r="H10" s="68" t="str">
        <f t="shared" si="2"/>
        <v>BACKS THE CALL</v>
      </c>
      <c r="I10" s="69" t="s">
        <v>214</v>
      </c>
      <c r="J10" s="7"/>
      <c r="K10" s="7"/>
      <c r="L10" s="7"/>
    </row>
    <row r="11" spans="1:12" ht="18.600000000000001" customHeight="1" x14ac:dyDescent="0.25">
      <c r="A11" s="64" t="s">
        <v>215</v>
      </c>
      <c r="B11" s="70">
        <f>IFERROR(IF(INDEX(Scorecard!$C$5:$C$12,MATCH($L$4,Scorecard!$A$5:$A$12,0))="","",INDEX(Scorecard!$C$5:$C$12,MATCH($L$4,Scorecard!$A$5:$A$12,0))),"")</f>
        <v>4</v>
      </c>
      <c r="C11" s="65" t="str">
        <f>IF(F11="","",REPT("■",MIN(6,ROUND(MAX(0,F11)*2,0))))</f>
        <v>■</v>
      </c>
      <c r="D11" s="66" t="str">
        <f>IF(F11="","",REPT("■",MIN(6,ROUND(MAX(0,-F11)*2,0))))</f>
        <v/>
      </c>
      <c r="E11" s="70">
        <f>IFERROR(IF(INDEX(Scorecard!$C$5:$C$12,MATCH($L$5,Scorecard!$A$5:$A$12,0))="","",INDEX(Scorecard!$C$5:$C$12,MATCH($L$5,Scorecard!$A$5:$A$12,0))),"")</f>
        <v>3.75</v>
      </c>
      <c r="F11" s="71">
        <f t="shared" si="0"/>
        <v>0.25</v>
      </c>
      <c r="G11" s="55" t="str">
        <f t="shared" si="1"/>
        <v>USD</v>
      </c>
      <c r="H11" s="68" t="str">
        <f t="shared" si="2"/>
        <v>BACKS THE CALL</v>
      </c>
      <c r="I11" s="69" t="s">
        <v>216</v>
      </c>
      <c r="J11" s="7"/>
      <c r="K11" s="7"/>
      <c r="L11" s="7"/>
    </row>
    <row r="12" spans="1:12" ht="18.600000000000001" customHeight="1" x14ac:dyDescent="0.25">
      <c r="A12" s="72" t="s">
        <v>217</v>
      </c>
      <c r="B12" s="73">
        <f>IFERROR(IF(INDEX(Scorecard!$Q$5:$Q$12,MATCH($L$4,Scorecard!$A$5:$A$12,0))="","",INDEX(Scorecard!$Q$5:$Q$12,MATCH($L$4,Scorecard!$A$5:$A$12,0))),"")</f>
        <v>3</v>
      </c>
      <c r="C12" s="74"/>
      <c r="D12" s="74"/>
      <c r="E12" s="73">
        <f>IFERROR(IF(INDEX(Scorecard!$Q$5:$Q$12,MATCH($L$5,Scorecard!$A$5:$A$12,0))="","",INDEX(Scorecard!$Q$5:$Q$12,MATCH($L$5,Scorecard!$A$5:$A$12,0))),"")</f>
        <v>-1</v>
      </c>
      <c r="F12" s="73">
        <f t="shared" si="0"/>
        <v>4</v>
      </c>
      <c r="G12" s="74"/>
      <c r="H12" s="74"/>
      <c r="I12" s="75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24" customHeight="1" x14ac:dyDescent="0.25">
      <c r="A14" s="5" t="s">
        <v>218</v>
      </c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</row>
    <row r="15" spans="1:12" ht="18" customHeight="1" x14ac:dyDescent="0.25">
      <c r="A15" s="124" t="s">
        <v>219</v>
      </c>
      <c r="B15" s="120"/>
      <c r="C15" s="120"/>
      <c r="D15" s="120"/>
      <c r="E15" s="120"/>
      <c r="F15" s="120"/>
      <c r="G15" s="120"/>
      <c r="H15" s="120"/>
      <c r="I15" s="120"/>
      <c r="J15" s="7"/>
      <c r="K15" s="7"/>
      <c r="L15" s="7"/>
    </row>
    <row r="16" spans="1:12" ht="18.600000000000001" customHeight="1" x14ac:dyDescent="0.25">
      <c r="A16" s="76" t="s">
        <v>220</v>
      </c>
      <c r="B16" s="128" t="str">
        <f>L4&amp;" wins "&amp;COUNTIF(G5:G11,L4)&amp;" of 7, "&amp;L5&amp;" wins "&amp;COUNTIF(G5:G11,L5)&amp;", level on "&amp;COUNTIF(G5:G11,"LEVEL")</f>
        <v>USD wins 7 of 7, GBP wins 0, level on 0</v>
      </c>
      <c r="C16" s="126"/>
      <c r="D16" s="126"/>
      <c r="E16" s="126"/>
      <c r="F16" s="126"/>
      <c r="G16" s="126"/>
      <c r="H16" s="126"/>
      <c r="I16" s="126"/>
      <c r="J16" s="7"/>
      <c r="K16" s="7"/>
      <c r="L16" s="7"/>
    </row>
    <row r="17" spans="1:12" ht="18.600000000000001" customHeight="1" x14ac:dyDescent="0.25">
      <c r="A17" s="76" t="s">
        <v>221</v>
      </c>
      <c r="B17" s="128" t="str">
        <f>IF(L9="","No directional call — use as comparison only",IF(COUNTIF(H5:H11,"BACKS THE CALL")&gt;=5,"STRONG — evidence backs the call",IF(COUNTIF(H5:H11,"BACKS THE CALL")&gt;COUNTIF(H5:H11,"AGAINST"),"MODERATE — more for than against","WEAK — evidence does not back the call")))</f>
        <v>STRONG — evidence backs the call</v>
      </c>
      <c r="C17" s="126"/>
      <c r="D17" s="126"/>
      <c r="E17" s="126"/>
      <c r="F17" s="126"/>
      <c r="G17" s="126"/>
      <c r="H17" s="126"/>
      <c r="I17" s="126"/>
      <c r="J17" s="7"/>
      <c r="K17" s="7"/>
      <c r="L17" s="7"/>
    </row>
    <row r="18" spans="1:12" ht="18.600000000000001" customHeight="1" x14ac:dyDescent="0.25">
      <c r="A18" s="76" t="s">
        <v>222</v>
      </c>
      <c r="B18" s="125" t="str">
        <f>IF(MAX(F5:F8)&gt;0,INDEX(A5:A8,MATCH(MAX(F5:F8),F5:F8,0))&amp;"  (gap +"&amp;MAX(F5:F8)&amp;")","None in the four scores")</f>
        <v>Inflation score (−1…+1)  (gap +1)</v>
      </c>
      <c r="C18" s="126"/>
      <c r="D18" s="126"/>
      <c r="E18" s="126"/>
      <c r="F18" s="126"/>
      <c r="G18" s="126"/>
      <c r="H18" s="126"/>
      <c r="I18" s="126"/>
      <c r="J18" s="7"/>
      <c r="K18" s="7"/>
      <c r="L18" s="7"/>
    </row>
    <row r="19" spans="1:12" ht="18.600000000000001" customHeight="1" x14ac:dyDescent="0.25">
      <c r="A19" s="76" t="s">
        <v>223</v>
      </c>
      <c r="B19" s="125" t="str">
        <f>IF(MIN(F5:F8)&lt;0,INDEX(A5:A8,MATCH(MIN(F5:F8),F5:F8,0))&amp;"  (gap "&amp;MIN(F5:F8)&amp;")","None in the four scores")</f>
        <v>None in the four scores</v>
      </c>
      <c r="C19" s="126"/>
      <c r="D19" s="126"/>
      <c r="E19" s="126"/>
      <c r="F19" s="126"/>
      <c r="G19" s="126"/>
      <c r="H19" s="126"/>
      <c r="I19" s="126"/>
      <c r="J19" s="7"/>
      <c r="K19" s="7"/>
      <c r="L19" s="7"/>
    </row>
    <row r="20" spans="1:12" ht="18.600000000000001" customHeight="1" x14ac:dyDescent="0.25">
      <c r="A20" s="76" t="s">
        <v>224</v>
      </c>
      <c r="B20" s="127" t="s">
        <v>225</v>
      </c>
      <c r="C20" s="126"/>
      <c r="D20" s="126"/>
      <c r="E20" s="126"/>
      <c r="F20" s="126"/>
      <c r="G20" s="126"/>
      <c r="H20" s="126"/>
      <c r="I20" s="126"/>
      <c r="J20" s="7"/>
      <c r="K20" s="7"/>
      <c r="L20" s="7"/>
    </row>
    <row r="21" spans="1:12" ht="43.9" customHeight="1" x14ac:dyDescent="0.25">
      <c r="A21" s="76" t="s">
        <v>226</v>
      </c>
      <c r="B21" s="127" t="s">
        <v>227</v>
      </c>
      <c r="C21" s="126"/>
      <c r="D21" s="126"/>
      <c r="E21" s="126"/>
      <c r="F21" s="126"/>
      <c r="G21" s="126"/>
      <c r="H21" s="126"/>
      <c r="I21" s="126"/>
      <c r="J21" s="7"/>
      <c r="K21" s="7"/>
      <c r="L21" s="7"/>
    </row>
    <row r="22" spans="1:12" ht="22.5" customHeight="1" x14ac:dyDescent="0.25"/>
    <row r="23" spans="1:12" ht="22.5" customHeight="1" x14ac:dyDescent="0.25"/>
    <row r="24" spans="1:12" ht="36" customHeight="1" x14ac:dyDescent="0.25"/>
    <row r="25" spans="1:12" ht="33" customHeight="1" x14ac:dyDescent="0.25"/>
    <row r="26" spans="1:12" ht="27" customHeight="1" x14ac:dyDescent="0.25"/>
    <row r="27" spans="1:12" ht="50.25" customHeight="1" x14ac:dyDescent="0.25"/>
  </sheetData>
  <mergeCells count="7">
    <mergeCell ref="A15:I15"/>
    <mergeCell ref="B18:I18"/>
    <mergeCell ref="B21:I21"/>
    <mergeCell ref="B16:I16"/>
    <mergeCell ref="B20:I20"/>
    <mergeCell ref="B19:I19"/>
    <mergeCell ref="B17:I17"/>
  </mergeCells>
  <conditionalFormatting sqref="B17">
    <cfRule type="expression" dxfId="51" priority="10">
      <formula>ISNUMBER(SEARCH("STRONG",B17))</formula>
    </cfRule>
    <cfRule type="expression" dxfId="50" priority="11">
      <formula>ISNUMBER(SEARCH("MODERATE",B17))</formula>
    </cfRule>
    <cfRule type="expression" dxfId="49" priority="12">
      <formula>ISNUMBER(SEARCH("WEAK",B17))</formula>
    </cfRule>
  </conditionalFormatting>
  <conditionalFormatting sqref="H5:H11">
    <cfRule type="expression" dxfId="48" priority="8">
      <formula>ISNUMBER(SEARCH("BACKS",H5))</formula>
    </cfRule>
    <cfRule type="expression" dxfId="47" priority="9">
      <formula>ISNUMBER(SEARCH("AGAINST",H5))</formula>
    </cfRule>
  </conditionalFormatting>
  <conditionalFormatting sqref="L7:L8">
    <cfRule type="expression" dxfId="46" priority="2">
      <formula>ISNUMBER(SEARCH("LONG",L7))</formula>
    </cfRule>
    <cfRule type="expression" dxfId="45" priority="3">
      <formula>ISNUMBER(SEARCH("SHORT",L7))</formula>
    </cfRule>
    <cfRule type="expression" dxfId="44" priority="4">
      <formula>ISNUMBER(SEARCH("FLAT",L7))</formula>
    </cfRule>
  </conditionalFormatting>
  <hyperlinks>
    <hyperlink ref="L1" location="'Start Here'!A1" display="← Start Here" xr:uid="{00000000-0004-0000-0200-000000000000}"/>
  </hyperlinks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Pick a currency" error="Choose a currency from the Scorecard list." xr:uid="{00000000-0002-0000-0200-000000000000}">
          <x14:formula1>
            <xm:f>Scorecard!$A$5:$A$12</xm:f>
          </x14:formula1>
          <xm:sqref>L4:L5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S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17" sqref="S17"/>
    </sheetView>
  </sheetViews>
  <sheetFormatPr defaultColWidth="8.7109375" defaultRowHeight="15" x14ac:dyDescent="0.25"/>
  <cols>
    <col min="1" max="1" width="10" customWidth="1"/>
    <col min="2" max="2" width="14" customWidth="1"/>
    <col min="3" max="3" width="10" customWidth="1"/>
    <col min="4" max="4" width="12" customWidth="1"/>
    <col min="5" max="5" width="11" customWidth="1"/>
    <col min="6" max="6" width="13" customWidth="1"/>
    <col min="7" max="7" width="10" customWidth="1"/>
    <col min="8" max="9" width="14" customWidth="1"/>
    <col min="10" max="10" width="10" customWidth="1"/>
    <col min="11" max="11" width="13" customWidth="1"/>
    <col min="12" max="12" width="11" customWidth="1"/>
    <col min="13" max="13" width="10" customWidth="1"/>
    <col min="14" max="15" width="13" customWidth="1"/>
    <col min="16" max="16" width="11" customWidth="1"/>
    <col min="17" max="17" width="9" customWidth="1"/>
    <col min="18" max="18" width="17.85546875" customWidth="1"/>
    <col min="19" max="19" width="40" customWidth="1"/>
  </cols>
  <sheetData>
    <row r="1" spans="1:19" ht="33.950000000000003" customHeight="1" x14ac:dyDescent="0.25">
      <c r="A1" s="2" t="s">
        <v>228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 t="s">
        <v>152</v>
      </c>
    </row>
    <row r="2" spans="1:19" ht="20.100000000000001" customHeight="1" x14ac:dyDescent="0.25">
      <c r="A2" s="77" t="s">
        <v>229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8" customHeight="1" x14ac:dyDescent="0.25">
      <c r="A3" s="78" t="s">
        <v>230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44.1" customHeight="1" x14ac:dyDescent="0.25">
      <c r="A4" s="48" t="s">
        <v>231</v>
      </c>
      <c r="B4" s="48" t="s">
        <v>232</v>
      </c>
      <c r="C4" s="48" t="s">
        <v>215</v>
      </c>
      <c r="D4" s="48" t="s">
        <v>233</v>
      </c>
      <c r="E4" s="48" t="s">
        <v>234</v>
      </c>
      <c r="F4" s="48" t="s">
        <v>235</v>
      </c>
      <c r="G4" s="48" t="s">
        <v>236</v>
      </c>
      <c r="H4" s="48" t="s">
        <v>237</v>
      </c>
      <c r="I4" s="48" t="s">
        <v>238</v>
      </c>
      <c r="J4" s="48" t="s">
        <v>205</v>
      </c>
      <c r="K4" s="48" t="s">
        <v>210</v>
      </c>
      <c r="L4" s="48" t="s">
        <v>239</v>
      </c>
      <c r="M4" s="48" t="s">
        <v>240</v>
      </c>
      <c r="N4" s="48" t="s">
        <v>241</v>
      </c>
      <c r="O4" s="48" t="s">
        <v>242</v>
      </c>
      <c r="P4" s="48" t="s">
        <v>243</v>
      </c>
      <c r="Q4" s="48" t="s">
        <v>244</v>
      </c>
      <c r="R4" s="48" t="s">
        <v>245</v>
      </c>
      <c r="S4" s="48" t="s">
        <v>246</v>
      </c>
    </row>
    <row r="5" spans="1:19" ht="43.9" customHeight="1" x14ac:dyDescent="0.25">
      <c r="A5" s="49" t="s">
        <v>173</v>
      </c>
      <c r="B5" s="49" t="s">
        <v>247</v>
      </c>
      <c r="C5" s="79">
        <v>4</v>
      </c>
      <c r="D5" s="56"/>
      <c r="E5" s="79">
        <v>3</v>
      </c>
      <c r="F5" s="79">
        <v>2.8</v>
      </c>
      <c r="G5" s="79">
        <v>2</v>
      </c>
      <c r="H5" s="79">
        <v>4.3</v>
      </c>
      <c r="I5" s="79">
        <v>4.2</v>
      </c>
      <c r="J5" s="80">
        <v>52.5</v>
      </c>
      <c r="K5" s="79">
        <v>4.0999999999999996</v>
      </c>
      <c r="L5" s="79">
        <v>3.9</v>
      </c>
      <c r="M5" s="52">
        <f>IF(COUNT(E5,F5,G5)&lt;3,"",IF(AND(E5&gt;G5,E5&gt;=F5),1,IF(AND(E5&lt;F5,E5&lt;=G5+'Start Here'!$B$20),-1,0)))</f>
        <v>1</v>
      </c>
      <c r="N5" s="52">
        <f>IF(COUNT(H5,I5)&lt;2,"",IF(H5-I5&lt;=-'Start Here'!$B$21,1,IF(H5-I5&gt;='Start Here'!$B$21,-1,0)))</f>
        <v>0</v>
      </c>
      <c r="O5" s="52">
        <f>IF(J5="","",IF(J5&gt;='Start Here'!$B$22,1,IF(J5&lt;='Start Here'!$B$23,-1,0)))</f>
        <v>1</v>
      </c>
      <c r="P5" s="52">
        <f>IF(COUNT(K5,L5)&lt;2,"",IF((K5-L5)*100&gt;='Start Here'!$B$24,1,IF((K5-L5)*100&lt;=-'Start Here'!$B$24,-1,0)))</f>
        <v>1</v>
      </c>
      <c r="Q5" s="55">
        <f t="shared" ref="Q5:Q12" si="0">IF(COUNT(M5:P5)&lt;4,"",SUM(M5:P5))</f>
        <v>3</v>
      </c>
      <c r="R5" s="55" t="str">
        <f>IF(Q5="","ENTER DATA",IF(Q5&gt;='Start Here'!$B$25,"HAWKISH",IF(Q5&lt;=-'Start Here'!$B$25,"DOVISH","NEUTRAL")))</f>
        <v>HAWKISH</v>
      </c>
      <c r="S5" s="58" t="s">
        <v>248</v>
      </c>
    </row>
    <row r="6" spans="1:19" ht="18.600000000000001" customHeight="1" x14ac:dyDescent="0.25">
      <c r="A6" s="49" t="s">
        <v>172</v>
      </c>
      <c r="B6" s="49" t="s">
        <v>249</v>
      </c>
      <c r="C6" s="79">
        <v>2</v>
      </c>
      <c r="D6" s="56"/>
      <c r="E6" s="79">
        <v>2.1</v>
      </c>
      <c r="F6" s="79">
        <v>2.2999999999999998</v>
      </c>
      <c r="G6" s="79">
        <v>2</v>
      </c>
      <c r="H6" s="79">
        <v>6.3</v>
      </c>
      <c r="I6" s="79">
        <v>6.3</v>
      </c>
      <c r="J6" s="80">
        <v>50.2</v>
      </c>
      <c r="K6" s="79">
        <v>2</v>
      </c>
      <c r="L6" s="79">
        <v>2.0499999999999998</v>
      </c>
      <c r="M6" s="52">
        <f>IF(COUNT(E6,F6,G6)&lt;3,"",IF(AND(E6&gt;G6,E6&gt;=F6),1,IF(AND(E6&lt;F6,E6&lt;=G6+'Start Here'!$B$20),-1,0)))</f>
        <v>-1</v>
      </c>
      <c r="N6" s="52">
        <f>IF(COUNT(H6,I6)&lt;2,"",IF(H6-I6&lt;=-'Start Here'!$B$21,1,IF(H6-I6&gt;='Start Here'!$B$21,-1,0)))</f>
        <v>0</v>
      </c>
      <c r="O6" s="52">
        <f>IF(J6="","",IF(J6&gt;='Start Here'!$B$22,1,IF(J6&lt;='Start Here'!$B$23,-1,0)))</f>
        <v>0</v>
      </c>
      <c r="P6" s="52">
        <f>IF(COUNT(K6,L6)&lt;2,"",IF((K6-L6)*100&gt;='Start Here'!$B$24,1,IF((K6-L6)*100&lt;=-'Start Here'!$B$24,-1,0)))</f>
        <v>0</v>
      </c>
      <c r="Q6" s="55">
        <f t="shared" si="0"/>
        <v>-1</v>
      </c>
      <c r="R6" s="55" t="str">
        <f>IF(Q6="","ENTER DATA",IF(Q6&gt;='Start Here'!$B$25,"HAWKISH",IF(Q6&lt;=-'Start Here'!$B$25,"DOVISH","NEUTRAL")))</f>
        <v>NEUTRAL</v>
      </c>
      <c r="S6" s="58"/>
    </row>
    <row r="7" spans="1:19" ht="18.600000000000001" customHeight="1" x14ac:dyDescent="0.25">
      <c r="A7" s="49" t="s">
        <v>176</v>
      </c>
      <c r="B7" s="49" t="s">
        <v>250</v>
      </c>
      <c r="C7" s="79">
        <v>3.75</v>
      </c>
      <c r="D7" s="56"/>
      <c r="E7" s="79">
        <v>3.4</v>
      </c>
      <c r="F7" s="79">
        <v>3.5</v>
      </c>
      <c r="G7" s="79">
        <v>2</v>
      </c>
      <c r="H7" s="79">
        <v>4.9000000000000004</v>
      </c>
      <c r="I7" s="79">
        <v>4.5999999999999996</v>
      </c>
      <c r="J7" s="80">
        <v>50.8</v>
      </c>
      <c r="K7" s="79">
        <v>3.8</v>
      </c>
      <c r="L7" s="79">
        <v>3.9</v>
      </c>
      <c r="M7" s="52">
        <f>IF(COUNT(E7,F7,G7)&lt;3,"",IF(AND(E7&gt;G7,E7&gt;=F7),1,IF(AND(E7&lt;F7,E7&lt;=G7+'Start Here'!$B$20),-1,0)))</f>
        <v>0</v>
      </c>
      <c r="N7" s="52">
        <f>IF(COUNT(H7,I7)&lt;2,"",IF(H7-I7&lt;=-'Start Here'!$B$21,1,IF(H7-I7&gt;='Start Here'!$B$21,-1,0)))</f>
        <v>-1</v>
      </c>
      <c r="O7" s="52">
        <f>IF(J7="","",IF(J7&gt;='Start Here'!$B$22,1,IF(J7&lt;='Start Here'!$B$23,-1,0)))</f>
        <v>0</v>
      </c>
      <c r="P7" s="52">
        <f>IF(COUNT(K7,L7)&lt;2,"",IF((K7-L7)*100&gt;='Start Here'!$B$24,1,IF((K7-L7)*100&lt;=-'Start Here'!$B$24,-1,0)))</f>
        <v>0</v>
      </c>
      <c r="Q7" s="55">
        <f t="shared" si="0"/>
        <v>-1</v>
      </c>
      <c r="R7" s="55" t="str">
        <f>IF(Q7="","ENTER DATA",IF(Q7&gt;='Start Here'!$B$25,"HAWKISH",IF(Q7&lt;=-'Start Here'!$B$25,"DOVISH","NEUTRAL")))</f>
        <v>NEUTRAL</v>
      </c>
      <c r="S7" s="58"/>
    </row>
    <row r="8" spans="1:19" ht="18.600000000000001" customHeight="1" x14ac:dyDescent="0.25">
      <c r="A8" s="49" t="s">
        <v>178</v>
      </c>
      <c r="B8" s="49" t="s">
        <v>251</v>
      </c>
      <c r="C8" s="79">
        <v>1</v>
      </c>
      <c r="D8" s="56"/>
      <c r="E8" s="79">
        <v>2.2000000000000002</v>
      </c>
      <c r="F8" s="79">
        <v>2</v>
      </c>
      <c r="G8" s="79">
        <v>2</v>
      </c>
      <c r="H8" s="79">
        <v>2.5</v>
      </c>
      <c r="I8" s="79">
        <v>2.5</v>
      </c>
      <c r="J8" s="80">
        <v>51</v>
      </c>
      <c r="K8" s="79">
        <v>1</v>
      </c>
      <c r="L8" s="79">
        <v>0.9</v>
      </c>
      <c r="M8" s="52">
        <f>IF(COUNT(E8,F8,G8)&lt;3,"",IF(AND(E8&gt;G8,E8&gt;=F8),1,IF(AND(E8&lt;F8,E8&lt;=G8+'Start Here'!$B$20),-1,0)))</f>
        <v>1</v>
      </c>
      <c r="N8" s="52">
        <f>IF(COUNT(H8,I8)&lt;2,"",IF(H8-I8&lt;=-'Start Here'!$B$21,1,IF(H8-I8&gt;='Start Here'!$B$21,-1,0)))</f>
        <v>0</v>
      </c>
      <c r="O8" s="52">
        <f>IF(J8="","",IF(J8&gt;='Start Here'!$B$22,1,IF(J8&lt;='Start Here'!$B$23,-1,0)))</f>
        <v>0</v>
      </c>
      <c r="P8" s="52">
        <f>IF(COUNT(K8,L8)&lt;2,"",IF((K8-L8)*100&gt;='Start Here'!$B$24,1,IF((K8-L8)*100&lt;=-'Start Here'!$B$24,-1,0)))</f>
        <v>0</v>
      </c>
      <c r="Q8" s="55">
        <f t="shared" si="0"/>
        <v>1</v>
      </c>
      <c r="R8" s="55" t="str">
        <f>IF(Q8="","ENTER DATA",IF(Q8&gt;='Start Here'!$B$25,"HAWKISH",IF(Q8&lt;=-'Start Here'!$B$25,"DOVISH","NEUTRAL")))</f>
        <v>NEUTRAL</v>
      </c>
      <c r="S8" s="58"/>
    </row>
    <row r="9" spans="1:19" ht="18.600000000000001" customHeight="1" x14ac:dyDescent="0.25">
      <c r="A9" s="49" t="s">
        <v>252</v>
      </c>
      <c r="B9" s="49" t="s">
        <v>253</v>
      </c>
      <c r="C9" s="79"/>
      <c r="D9" s="56"/>
      <c r="E9" s="79"/>
      <c r="F9" s="79"/>
      <c r="G9" s="79">
        <v>2.5</v>
      </c>
      <c r="H9" s="79"/>
      <c r="I9" s="79"/>
      <c r="J9" s="80"/>
      <c r="K9" s="79"/>
      <c r="L9" s="79"/>
      <c r="M9" s="52" t="str">
        <f>IF(COUNT(E9,F9,G9)&lt;3,"",IF(AND(E9&gt;G9,E9&gt;=F9),1,IF(AND(E9&lt;F9,E9&lt;=G9+'Start Here'!$B$20),-1,0)))</f>
        <v/>
      </c>
      <c r="N9" s="52" t="str">
        <f>IF(COUNT(H9,I9)&lt;2,"",IF(H9-I9&lt;=-'Start Here'!$B$21,1,IF(H9-I9&gt;='Start Here'!$B$21,-1,0)))</f>
        <v/>
      </c>
      <c r="O9" s="52" t="str">
        <f>IF(J9="","",IF(J9&gt;='Start Here'!$B$22,1,IF(J9&lt;='Start Here'!$B$23,-1,0)))</f>
        <v/>
      </c>
      <c r="P9" s="52" t="str">
        <f>IF(COUNT(K9,L9)&lt;2,"",IF((K9-L9)*100&gt;='Start Here'!$B$24,1,IF((K9-L9)*100&lt;=-'Start Here'!$B$24,-1,0)))</f>
        <v/>
      </c>
      <c r="Q9" s="55" t="str">
        <f t="shared" si="0"/>
        <v/>
      </c>
      <c r="R9" s="55" t="str">
        <f>IF(Q9="","ENTER DATA",IF(Q9&gt;='Start Here'!$B$25,"HAWKISH",IF(Q9&lt;=-'Start Here'!$B$25,"DOVISH","NEUTRAL")))</f>
        <v>ENTER DATA</v>
      </c>
      <c r="S9" s="58"/>
    </row>
    <row r="10" spans="1:19" ht="18.600000000000001" customHeight="1" x14ac:dyDescent="0.25">
      <c r="A10" s="49" t="s">
        <v>254</v>
      </c>
      <c r="B10" s="49" t="s">
        <v>255</v>
      </c>
      <c r="C10" s="79"/>
      <c r="D10" s="56"/>
      <c r="E10" s="79"/>
      <c r="F10" s="79"/>
      <c r="G10" s="79">
        <v>2</v>
      </c>
      <c r="H10" s="79"/>
      <c r="I10" s="79"/>
      <c r="J10" s="80"/>
      <c r="K10" s="79"/>
      <c r="L10" s="79"/>
      <c r="M10" s="52" t="str">
        <f>IF(COUNT(E10,F10,G10)&lt;3,"",IF(AND(E10&gt;G10,E10&gt;=F10),1,IF(AND(E10&lt;F10,E10&lt;=G10+'Start Here'!$B$20),-1,0)))</f>
        <v/>
      </c>
      <c r="N10" s="52" t="str">
        <f>IF(COUNT(H10,I10)&lt;2,"",IF(H10-I10&lt;=-'Start Here'!$B$21,1,IF(H10-I10&gt;='Start Here'!$B$21,-1,0)))</f>
        <v/>
      </c>
      <c r="O10" s="52" t="str">
        <f>IF(J10="","",IF(J10&gt;='Start Here'!$B$22,1,IF(J10&lt;='Start Here'!$B$23,-1,0)))</f>
        <v/>
      </c>
      <c r="P10" s="52" t="str">
        <f>IF(COUNT(K10,L10)&lt;2,"",IF((K10-L10)*100&gt;='Start Here'!$B$24,1,IF((K10-L10)*100&lt;=-'Start Here'!$B$24,-1,0)))</f>
        <v/>
      </c>
      <c r="Q10" s="55" t="str">
        <f t="shared" si="0"/>
        <v/>
      </c>
      <c r="R10" s="55" t="str">
        <f>IF(Q10="","ENTER DATA",IF(Q10&gt;='Start Here'!$B$25,"HAWKISH",IF(Q10&lt;=-'Start Here'!$B$25,"DOVISH","NEUTRAL")))</f>
        <v>ENTER DATA</v>
      </c>
      <c r="S10" s="58"/>
    </row>
    <row r="11" spans="1:19" ht="18.600000000000001" customHeight="1" x14ac:dyDescent="0.25">
      <c r="A11" s="49" t="s">
        <v>256</v>
      </c>
      <c r="B11" s="49" t="s">
        <v>257</v>
      </c>
      <c r="C11" s="79"/>
      <c r="D11" s="56"/>
      <c r="E11" s="79"/>
      <c r="F11" s="79"/>
      <c r="G11" s="79">
        <v>2</v>
      </c>
      <c r="H11" s="79"/>
      <c r="I11" s="79"/>
      <c r="J11" s="80"/>
      <c r="K11" s="79"/>
      <c r="L11" s="79"/>
      <c r="M11" s="52" t="str">
        <f>IF(COUNT(E11,F11,G11)&lt;3,"",IF(AND(E11&gt;G11,E11&gt;=F11),1,IF(AND(E11&lt;F11,E11&lt;=G11+'Start Here'!$B$20),-1,0)))</f>
        <v/>
      </c>
      <c r="N11" s="52" t="str">
        <f>IF(COUNT(H11,I11)&lt;2,"",IF(H11-I11&lt;=-'Start Here'!$B$21,1,IF(H11-I11&gt;='Start Here'!$B$21,-1,0)))</f>
        <v/>
      </c>
      <c r="O11" s="52" t="str">
        <f>IF(J11="","",IF(J11&gt;='Start Here'!$B$22,1,IF(J11&lt;='Start Here'!$B$23,-1,0)))</f>
        <v/>
      </c>
      <c r="P11" s="52" t="str">
        <f>IF(COUNT(K11,L11)&lt;2,"",IF((K11-L11)*100&gt;='Start Here'!$B$24,1,IF((K11-L11)*100&lt;=-'Start Here'!$B$24,-1,0)))</f>
        <v/>
      </c>
      <c r="Q11" s="55" t="str">
        <f t="shared" si="0"/>
        <v/>
      </c>
      <c r="R11" s="55" t="str">
        <f>IF(Q11="","ENTER DATA",IF(Q11&gt;='Start Here'!$B$25,"HAWKISH",IF(Q11&lt;=-'Start Here'!$B$25,"DOVISH","NEUTRAL")))</f>
        <v>ENTER DATA</v>
      </c>
      <c r="S11" s="58"/>
    </row>
    <row r="12" spans="1:19" ht="18.600000000000001" customHeight="1" x14ac:dyDescent="0.25">
      <c r="A12" s="49" t="s">
        <v>258</v>
      </c>
      <c r="B12" s="49" t="s">
        <v>259</v>
      </c>
      <c r="C12" s="79"/>
      <c r="D12" s="56"/>
      <c r="E12" s="79"/>
      <c r="F12" s="79"/>
      <c r="G12" s="79">
        <v>1</v>
      </c>
      <c r="H12" s="79"/>
      <c r="I12" s="79"/>
      <c r="J12" s="80"/>
      <c r="K12" s="79"/>
      <c r="L12" s="79"/>
      <c r="M12" s="52" t="str">
        <f>IF(COUNT(E12,F12,G12)&lt;3,"",IF(AND(E12&gt;G12,E12&gt;=F12),1,IF(AND(E12&lt;F12,E12&lt;=G12+'Start Here'!$B$20),-1,0)))</f>
        <v/>
      </c>
      <c r="N12" s="52" t="str">
        <f>IF(COUNT(H12,I12)&lt;2,"",IF(H12-I12&lt;=-'Start Here'!$B$21,1,IF(H12-I12&gt;='Start Here'!$B$21,-1,0)))</f>
        <v/>
      </c>
      <c r="O12" s="52" t="str">
        <f>IF(J12="","",IF(J12&gt;='Start Here'!$B$22,1,IF(J12&lt;='Start Here'!$B$23,-1,0)))</f>
        <v/>
      </c>
      <c r="P12" s="52" t="str">
        <f>IF(COUNT(K12,L12)&lt;2,"",IF((K12-L12)*100&gt;='Start Here'!$B$24,1,IF((K12-L12)*100&lt;=-'Start Here'!$B$24,-1,0)))</f>
        <v/>
      </c>
      <c r="Q12" s="55" t="str">
        <f t="shared" si="0"/>
        <v/>
      </c>
      <c r="R12" s="55" t="str">
        <f>IF(Q12="","ENTER DATA",IF(Q12&gt;='Start Here'!$B$25,"HAWKISH",IF(Q12&lt;=-'Start Here'!$B$25,"DOVISH","NEUTRAL")))</f>
        <v>ENTER DATA</v>
      </c>
      <c r="S12" s="58"/>
    </row>
    <row r="13" spans="1:19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" customHeight="1" x14ac:dyDescent="0.25">
      <c r="A14" s="78" t="s">
        <v>260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conditionalFormatting sqref="M5:Q12">
    <cfRule type="cellIs" dxfId="43" priority="5" operator="greaterThan">
      <formula>0</formula>
    </cfRule>
    <cfRule type="cellIs" dxfId="42" priority="6" operator="lessThan">
      <formula>0</formula>
    </cfRule>
  </conditionalFormatting>
  <conditionalFormatting sqref="R5:R12">
    <cfRule type="expression" dxfId="41" priority="2">
      <formula>ISNUMBER(SEARCH("HAWKISH",R5))</formula>
    </cfRule>
    <cfRule type="expression" dxfId="40" priority="3">
      <formula>ISNUMBER(SEARCH("DOVISH",R5))</formula>
    </cfRule>
    <cfRule type="expression" dxfId="39" priority="4">
      <formula>ISNUMBER(SEARCH("NEUTRAL",R5))</formula>
    </cfRule>
    <cfRule type="expression" dxfId="38" priority="7" stopIfTrue="1">
      <formula>ISNUMBER(SEARCH("ENTER DATA",R5))</formula>
    </cfRule>
  </conditionalFormatting>
  <hyperlinks>
    <hyperlink ref="S1" location="'Start Here'!A1" display="← Start Here" xr:uid="{00000000-0004-0000-0300-000000000000}"/>
  </hyperlink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F18"/>
  <sheetViews>
    <sheetView showGridLines="0" zoomScaleNormal="100" workbookViewId="0">
      <pane ySplit="2" topLeftCell="A3" activePane="bottomLeft" state="frozen"/>
      <selection pane="bottomLeft" activeCell="K12" sqref="K12"/>
    </sheetView>
  </sheetViews>
  <sheetFormatPr defaultColWidth="8.7109375" defaultRowHeight="15" x14ac:dyDescent="0.25"/>
  <cols>
    <col min="1" max="1" width="44" customWidth="1"/>
    <col min="2" max="4" width="13" customWidth="1"/>
    <col min="5" max="5" width="11" customWidth="1"/>
    <col min="6" max="6" width="70" customWidth="1"/>
  </cols>
  <sheetData>
    <row r="1" spans="1:6" ht="33.950000000000003" customHeight="1" x14ac:dyDescent="0.25">
      <c r="A1" s="2" t="s">
        <v>261</v>
      </c>
      <c r="B1" s="3"/>
      <c r="C1" s="3"/>
      <c r="D1" s="3"/>
      <c r="E1" s="3"/>
      <c r="F1" s="47" t="s">
        <v>152</v>
      </c>
    </row>
    <row r="2" spans="1:6" ht="20.100000000000001" customHeight="1" x14ac:dyDescent="0.25">
      <c r="A2" s="81" t="s">
        <v>262</v>
      </c>
    </row>
    <row r="3" spans="1:6" ht="8.1" customHeight="1" x14ac:dyDescent="0.25">
      <c r="A3" s="7"/>
      <c r="B3" s="7"/>
      <c r="C3" s="7"/>
      <c r="D3" s="7"/>
      <c r="E3" s="7"/>
      <c r="F3" s="7"/>
    </row>
    <row r="4" spans="1:6" ht="24" customHeight="1" x14ac:dyDescent="0.25">
      <c r="A4" s="5" t="s">
        <v>263</v>
      </c>
      <c r="B4" s="6"/>
      <c r="C4" s="6"/>
      <c r="D4" s="6"/>
      <c r="E4" s="6"/>
      <c r="F4" s="6"/>
    </row>
    <row r="5" spans="1:6" ht="18.600000000000001" customHeight="1" x14ac:dyDescent="0.25">
      <c r="A5" s="82" t="s">
        <v>264</v>
      </c>
      <c r="B5" s="83">
        <v>14.81</v>
      </c>
      <c r="C5" s="4" t="s">
        <v>265</v>
      </c>
    </row>
    <row r="6" spans="1:6" ht="18.600000000000001" customHeight="1" x14ac:dyDescent="0.25">
      <c r="A6" s="82" t="s">
        <v>266</v>
      </c>
      <c r="B6" s="84">
        <v>7650.5</v>
      </c>
      <c r="C6" s="4" t="s">
        <v>267</v>
      </c>
    </row>
    <row r="7" spans="1:6" ht="18.600000000000001" customHeight="1" x14ac:dyDescent="0.25">
      <c r="A7" s="82" t="s">
        <v>268</v>
      </c>
      <c r="B7" s="84">
        <v>7183.05</v>
      </c>
      <c r="C7" s="4" t="s">
        <v>269</v>
      </c>
    </row>
    <row r="8" spans="1:6" ht="18.600000000000001" customHeight="1" x14ac:dyDescent="0.25">
      <c r="A8" s="62" t="s">
        <v>270</v>
      </c>
      <c r="B8" s="55" t="str">
        <f>IF(COUNT(B5:B7)&lt;3,"ENTER DATA",IF(B5&gt;'Start Here'!$B$29,"RISK-OFF",IF(OR(B5&gt;='Start Here'!$B$28,B6&lt;B7),"CAUTION","RISK-ON")))</f>
        <v>RISK-ON</v>
      </c>
      <c r="C8" s="129" t="s">
        <v>271</v>
      </c>
      <c r="D8" s="116"/>
      <c r="E8" s="116"/>
      <c r="F8" s="116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ht="24" customHeight="1" x14ac:dyDescent="0.25">
      <c r="A11" s="5" t="s">
        <v>272</v>
      </c>
      <c r="B11" s="6"/>
      <c r="C11" s="6"/>
      <c r="D11" s="6"/>
      <c r="E11" s="6"/>
      <c r="F11" s="6"/>
    </row>
    <row r="12" spans="1:6" ht="18.600000000000001" customHeight="1" x14ac:dyDescent="0.25">
      <c r="A12" s="8" t="s">
        <v>273</v>
      </c>
      <c r="B12" s="48" t="s">
        <v>274</v>
      </c>
      <c r="C12" s="48" t="s">
        <v>275</v>
      </c>
      <c r="D12" s="48" t="s">
        <v>276</v>
      </c>
      <c r="E12" s="48" t="s">
        <v>277</v>
      </c>
      <c r="F12" s="48" t="s">
        <v>278</v>
      </c>
    </row>
    <row r="13" spans="1:6" ht="28.7" customHeight="1" x14ac:dyDescent="0.25">
      <c r="A13" s="85" t="s">
        <v>279</v>
      </c>
      <c r="B13" s="86">
        <v>2.66</v>
      </c>
      <c r="C13" s="86">
        <v>2.4</v>
      </c>
      <c r="D13" s="87">
        <f>IF(COUNT(B13:C13)&lt;2,"",(B13-C13)*100)</f>
        <v>26.000000000000021</v>
      </c>
      <c r="E13" s="55">
        <f>IF(D13="","",IF(D13&lt;=-'Start Here'!$B$30,1,IF(D13&gt;='Start Here'!$B$30,-1,0)))</f>
        <v>-1</v>
      </c>
      <c r="F13" s="23" t="s">
        <v>280</v>
      </c>
    </row>
    <row r="14" spans="1:6" ht="31.15" customHeight="1" x14ac:dyDescent="0.25">
      <c r="A14" s="85" t="s">
        <v>281</v>
      </c>
      <c r="B14" s="86">
        <v>100.22</v>
      </c>
      <c r="C14" s="86">
        <v>99.65</v>
      </c>
      <c r="D14" s="88">
        <f>IF(COUNT(B14:C14)&lt;2,"",(B14/C14-1)*100)</f>
        <v>0.5720020070245857</v>
      </c>
      <c r="E14" s="55">
        <f>IF(D14="","",IF(D14&lt;=-'Start Here'!$B$31,1,IF(D14&gt;='Start Here'!$B$31,-1,0)))</f>
        <v>0</v>
      </c>
      <c r="F14" s="23" t="s">
        <v>282</v>
      </c>
    </row>
    <row r="15" spans="1:6" ht="18.600000000000001" customHeight="1" x14ac:dyDescent="0.25">
      <c r="A15" s="85" t="s">
        <v>283</v>
      </c>
      <c r="B15" s="89" t="str">
        <f>B8</f>
        <v>RISK-ON</v>
      </c>
      <c r="C15" s="90"/>
      <c r="D15" s="91"/>
      <c r="E15" s="55">
        <f>IF(B15="RISK-OFF",1,0)</f>
        <v>0</v>
      </c>
      <c r="F15" s="23" t="s">
        <v>284</v>
      </c>
    </row>
    <row r="16" spans="1:6" ht="31.15" customHeight="1" x14ac:dyDescent="0.25">
      <c r="A16" s="85" t="s">
        <v>285</v>
      </c>
      <c r="B16" s="92">
        <v>1</v>
      </c>
      <c r="C16" s="90"/>
      <c r="D16" s="91"/>
      <c r="E16" s="55">
        <f>B16</f>
        <v>1</v>
      </c>
      <c r="F16" s="58" t="s">
        <v>286</v>
      </c>
    </row>
    <row r="17" spans="1:6" ht="18.600000000000001" customHeight="1" x14ac:dyDescent="0.25">
      <c r="A17" s="93" t="s">
        <v>287</v>
      </c>
      <c r="B17" s="74"/>
      <c r="C17" s="74"/>
      <c r="D17" s="74"/>
      <c r="E17" s="73">
        <f>IF(COUNT(E13:E16)&lt;4,"",SUM(E13:E16))</f>
        <v>0</v>
      </c>
      <c r="F17" s="94"/>
    </row>
    <row r="18" spans="1:6" ht="18.600000000000001" customHeight="1" x14ac:dyDescent="0.25">
      <c r="A18" s="95" t="s">
        <v>288</v>
      </c>
      <c r="B18" s="96" t="str">
        <f>IF(E17="","ENTER DATA",IF(E17&gt;='Start Here'!$B$32,"LONG",IF(E17&lt;=-'Start Here'!$B$32,"SHORT","FLAT")))</f>
        <v>FLAT</v>
      </c>
      <c r="C18" s="97"/>
      <c r="D18" s="97"/>
      <c r="E18" s="97"/>
      <c r="F18" s="98"/>
    </row>
  </sheetData>
  <mergeCells count="1">
    <mergeCell ref="C8:F8"/>
  </mergeCells>
  <conditionalFormatting sqref="B8">
    <cfRule type="expression" dxfId="37" priority="2">
      <formula>ISNUMBER(SEARCH("RISK-ON",B8))</formula>
    </cfRule>
    <cfRule type="expression" dxfId="36" priority="3">
      <formula>ISNUMBER(SEARCH("RISK-OFF",B8))</formula>
    </cfRule>
    <cfRule type="expression" dxfId="35" priority="4">
      <formula>ISNUMBER(SEARCH("CAUTION",B8))</formula>
    </cfRule>
    <cfRule type="expression" dxfId="34" priority="9" stopIfTrue="1">
      <formula>ISNUMBER(SEARCH("ENTER DATA",B8))</formula>
    </cfRule>
  </conditionalFormatting>
  <conditionalFormatting sqref="B18">
    <cfRule type="expression" dxfId="33" priority="5">
      <formula>ISNUMBER(SEARCH("LONG",B18))</formula>
    </cfRule>
    <cfRule type="expression" dxfId="32" priority="6">
      <formula>ISNUMBER(SEARCH("SHORT",B18))</formula>
    </cfRule>
    <cfRule type="expression" dxfId="31" priority="7">
      <formula>ISNUMBER(SEARCH("FLAT",B18))</formula>
    </cfRule>
    <cfRule type="expression" dxfId="30" priority="10" stopIfTrue="1">
      <formula>ISNUMBER(SEARCH("ENTER DATA",B18))</formula>
    </cfRule>
  </conditionalFormatting>
  <conditionalFormatting sqref="E13:E17">
    <cfRule type="cellIs" dxfId="29" priority="8" operator="greaterThan">
      <formula>0</formula>
    </cfRule>
    <cfRule type="cellIs" dxfId="28" priority="11" operator="lessThan">
      <formula>0</formula>
    </cfRule>
  </conditionalFormatting>
  <dataValidations count="1">
    <dataValidation type="list" sqref="B16" xr:uid="{00000000-0002-0000-0400-000000000000}">
      <formula1>"-1,0,1"</formula1>
      <formula2>0</formula2>
    </dataValidation>
  </dataValidations>
  <hyperlinks>
    <hyperlink ref="F1" location="'Start Here'!A1" display="← Start Here" xr:uid="{00000000-0004-0000-0400-000000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L52"/>
  <sheetViews>
    <sheetView showGridLines="0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2" sqref="A2:L2"/>
    </sheetView>
  </sheetViews>
  <sheetFormatPr defaultColWidth="8.7109375" defaultRowHeight="15" x14ac:dyDescent="0.25"/>
  <cols>
    <col min="1" max="1" width="17.7109375" customWidth="1"/>
    <col min="2" max="2" width="17.28515625" customWidth="1"/>
    <col min="3" max="3" width="21.28515625" customWidth="1"/>
    <col min="4" max="4" width="19.5703125" customWidth="1"/>
    <col min="5" max="5" width="19.28515625" customWidth="1"/>
    <col min="6" max="6" width="59.7109375" customWidth="1"/>
    <col min="7" max="7" width="40.140625" customWidth="1"/>
    <col min="8" max="8" width="14.7109375" customWidth="1"/>
    <col min="9" max="9" width="13" customWidth="1"/>
    <col min="10" max="10" width="26" customWidth="1"/>
    <col min="11" max="11" width="12" customWidth="1"/>
    <col min="12" max="12" width="16" customWidth="1"/>
  </cols>
  <sheetData>
    <row r="1" spans="1:12" ht="33.950000000000003" customHeight="1" x14ac:dyDescent="0.25">
      <c r="A1" s="2" t="s">
        <v>289</v>
      </c>
      <c r="B1" s="3"/>
      <c r="C1" s="3"/>
      <c r="D1" s="3"/>
      <c r="E1" s="3"/>
      <c r="F1" s="3"/>
      <c r="G1" s="3"/>
      <c r="H1" s="3"/>
      <c r="I1" s="3"/>
      <c r="J1" s="3"/>
      <c r="K1" s="3"/>
      <c r="L1" s="47" t="s">
        <v>152</v>
      </c>
    </row>
    <row r="2" spans="1:12" ht="20.100000000000001" customHeight="1" x14ac:dyDescent="0.25">
      <c r="A2" s="77" t="s">
        <v>290</v>
      </c>
    </row>
    <row r="3" spans="1:12" ht="8.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4" customHeight="1" x14ac:dyDescent="0.25">
      <c r="A4" s="5" t="s">
        <v>291</v>
      </c>
      <c r="B4" s="6"/>
      <c r="C4" s="6"/>
      <c r="D4" s="7"/>
      <c r="E4" s="5" t="s">
        <v>292</v>
      </c>
      <c r="F4" s="6"/>
      <c r="K4" s="7"/>
      <c r="L4" s="7"/>
    </row>
    <row r="5" spans="1:12" ht="18.600000000000001" customHeight="1" x14ac:dyDescent="0.25">
      <c r="A5" s="48" t="s">
        <v>293</v>
      </c>
      <c r="B5" s="48" t="s">
        <v>294</v>
      </c>
      <c r="C5" s="48" t="s">
        <v>295</v>
      </c>
      <c r="D5" s="7"/>
      <c r="E5" s="48" t="s">
        <v>296</v>
      </c>
      <c r="F5" s="9" t="s">
        <v>297</v>
      </c>
      <c r="G5" s="99"/>
      <c r="H5" s="99"/>
      <c r="I5" s="99"/>
      <c r="J5" s="99"/>
      <c r="K5" s="7"/>
      <c r="L5" s="7"/>
    </row>
    <row r="6" spans="1:12" ht="43.9" customHeight="1" x14ac:dyDescent="0.25">
      <c r="A6" s="100" t="s">
        <v>177</v>
      </c>
      <c r="B6" s="101">
        <v>157</v>
      </c>
      <c r="C6" s="102">
        <v>46283</v>
      </c>
      <c r="D6" s="7"/>
      <c r="E6" s="37" t="s">
        <v>119</v>
      </c>
      <c r="F6" s="103" t="s">
        <v>298</v>
      </c>
      <c r="G6" s="99"/>
      <c r="H6" s="99"/>
      <c r="I6" s="99"/>
      <c r="J6" s="99"/>
      <c r="K6" s="7"/>
      <c r="L6" s="7"/>
    </row>
    <row r="7" spans="1:12" ht="31.15" customHeight="1" x14ac:dyDescent="0.25">
      <c r="A7" s="100" t="s">
        <v>179</v>
      </c>
      <c r="B7" s="101">
        <v>4400</v>
      </c>
      <c r="C7" s="102">
        <v>46283</v>
      </c>
      <c r="D7" s="7"/>
      <c r="E7" s="38" t="s">
        <v>122</v>
      </c>
      <c r="F7" s="103" t="s">
        <v>299</v>
      </c>
      <c r="G7" s="99"/>
      <c r="H7" s="99"/>
      <c r="I7" s="99"/>
      <c r="J7" s="99"/>
      <c r="K7" s="7"/>
      <c r="L7" s="7"/>
    </row>
    <row r="8" spans="1:12" ht="31.15" customHeight="1" x14ac:dyDescent="0.25">
      <c r="A8" s="100" t="s">
        <v>171</v>
      </c>
      <c r="B8" s="101"/>
      <c r="C8" s="102"/>
      <c r="D8" s="7"/>
      <c r="E8" s="40" t="s">
        <v>125</v>
      </c>
      <c r="F8" s="103" t="s">
        <v>300</v>
      </c>
      <c r="G8" s="99"/>
      <c r="H8" s="99"/>
      <c r="I8" s="99"/>
      <c r="J8" s="99"/>
      <c r="K8" s="7"/>
      <c r="L8" s="7"/>
    </row>
    <row r="9" spans="1:12" ht="18.600000000000001" customHeight="1" x14ac:dyDescent="0.25">
      <c r="A9" s="100" t="s">
        <v>175</v>
      </c>
      <c r="B9" s="101"/>
      <c r="C9" s="102"/>
      <c r="D9" s="7"/>
      <c r="E9" s="42" t="s">
        <v>129</v>
      </c>
      <c r="F9" s="103" t="s">
        <v>301</v>
      </c>
      <c r="G9" s="99"/>
      <c r="H9" s="99"/>
      <c r="I9" s="99"/>
      <c r="J9" s="99"/>
      <c r="K9" s="7"/>
      <c r="L9" s="7"/>
    </row>
    <row r="10" spans="1:12" ht="18.600000000000001" customHeight="1" x14ac:dyDescent="0.25">
      <c r="A10" s="100" t="s">
        <v>302</v>
      </c>
      <c r="B10" s="101"/>
      <c r="C10" s="102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30" customHeight="1" x14ac:dyDescent="0.25">
      <c r="A12" s="48" t="s">
        <v>293</v>
      </c>
      <c r="B12" s="48" t="s">
        <v>303</v>
      </c>
      <c r="C12" s="48" t="s">
        <v>304</v>
      </c>
      <c r="D12" s="48" t="s">
        <v>296</v>
      </c>
      <c r="E12" s="48" t="s">
        <v>305</v>
      </c>
      <c r="F12" s="48" t="s">
        <v>306</v>
      </c>
      <c r="G12" s="48" t="s">
        <v>307</v>
      </c>
      <c r="H12" s="48" t="s">
        <v>308</v>
      </c>
      <c r="I12" s="48" t="s">
        <v>309</v>
      </c>
      <c r="J12" s="48" t="s">
        <v>310</v>
      </c>
      <c r="K12" s="48" t="s">
        <v>311</v>
      </c>
      <c r="L12" s="48" t="s">
        <v>169</v>
      </c>
    </row>
    <row r="13" spans="1:12" ht="31.15" customHeight="1" x14ac:dyDescent="0.25">
      <c r="A13" s="22" t="s">
        <v>177</v>
      </c>
      <c r="B13" s="104">
        <v>164</v>
      </c>
      <c r="C13" s="104">
        <v>163</v>
      </c>
      <c r="D13" s="22" t="s">
        <v>119</v>
      </c>
      <c r="E13" s="22">
        <v>3</v>
      </c>
      <c r="F13" s="58" t="s">
        <v>312</v>
      </c>
      <c r="G13" s="58" t="s">
        <v>313</v>
      </c>
      <c r="H13" s="56">
        <v>46234</v>
      </c>
      <c r="I13" s="56"/>
      <c r="J13" s="58" t="s">
        <v>314</v>
      </c>
      <c r="K13" s="105">
        <f t="shared" ref="K13:K52" si="0">IF(OR(A13="",B13=""),"",IFERROR(IF(INDEX($B$6:$B$10,MATCH(A13,$A$6:$A$10,0))="","",(B13/INDEX($B$6:$B$10,MATCH(A13,$A$6:$A$10,0))-1)*100),""))</f>
        <v>4.4585987261146487</v>
      </c>
      <c r="L13" s="55" t="str">
        <f>IF(K13="","",IF(ABS(K13)&lt;='Start Here'!$B$33,"NEAR — watch",IF(K13&gt;0,"above price","below price")))</f>
        <v>above price</v>
      </c>
    </row>
    <row r="14" spans="1:12" ht="18.600000000000001" customHeight="1" x14ac:dyDescent="0.25">
      <c r="A14" s="22" t="s">
        <v>177</v>
      </c>
      <c r="B14" s="104">
        <v>161.94999999999999</v>
      </c>
      <c r="C14" s="104"/>
      <c r="D14" s="22" t="s">
        <v>119</v>
      </c>
      <c r="E14" s="22">
        <v>2</v>
      </c>
      <c r="F14" s="58" t="s">
        <v>315</v>
      </c>
      <c r="G14" s="58" t="s">
        <v>316</v>
      </c>
      <c r="H14" s="56">
        <v>45484</v>
      </c>
      <c r="I14" s="56"/>
      <c r="J14" s="58"/>
      <c r="K14" s="105">
        <f t="shared" si="0"/>
        <v>3.1528662420382103</v>
      </c>
      <c r="L14" s="55" t="str">
        <f>IF(K14="","",IF(ABS(K14)&lt;='Start Here'!$B$33,"NEAR — watch",IF(K14&gt;0,"above price","below price")))</f>
        <v>above price</v>
      </c>
    </row>
    <row r="15" spans="1:12" ht="18.600000000000001" customHeight="1" x14ac:dyDescent="0.25">
      <c r="A15" s="22" t="s">
        <v>177</v>
      </c>
      <c r="B15" s="104">
        <v>160.19999999999999</v>
      </c>
      <c r="C15" s="104"/>
      <c r="D15" s="22" t="s">
        <v>119</v>
      </c>
      <c r="E15" s="22">
        <v>2</v>
      </c>
      <c r="F15" s="58" t="s">
        <v>317</v>
      </c>
      <c r="G15" s="58" t="s">
        <v>316</v>
      </c>
      <c r="H15" s="56">
        <v>45411</v>
      </c>
      <c r="I15" s="56"/>
      <c r="J15" s="58"/>
      <c r="K15" s="105">
        <f t="shared" si="0"/>
        <v>2.0382165605095537</v>
      </c>
      <c r="L15" s="55" t="str">
        <f>IF(K15="","",IF(ABS(K15)&lt;='Start Here'!$B$33,"NEAR — watch",IF(K15&gt;0,"above price","below price")))</f>
        <v>above price</v>
      </c>
    </row>
    <row r="16" spans="1:12" ht="31.15" customHeight="1" x14ac:dyDescent="0.25">
      <c r="A16" s="22" t="s">
        <v>177</v>
      </c>
      <c r="B16" s="104">
        <v>160</v>
      </c>
      <c r="C16" s="104"/>
      <c r="D16" s="22" t="s">
        <v>119</v>
      </c>
      <c r="E16" s="22">
        <v>3</v>
      </c>
      <c r="F16" s="58" t="s">
        <v>318</v>
      </c>
      <c r="G16" s="58" t="s">
        <v>319</v>
      </c>
      <c r="H16" s="56"/>
      <c r="I16" s="56"/>
      <c r="J16" s="58"/>
      <c r="K16" s="105">
        <f t="shared" si="0"/>
        <v>1.9108280254777066</v>
      </c>
      <c r="L16" s="55" t="str">
        <f>IF(K16="","",IF(ABS(K16)&lt;='Start Here'!$B$33,"NEAR — watch",IF(K16&gt;0,"above price","below price")))</f>
        <v>above price</v>
      </c>
    </row>
    <row r="17" spans="1:12" ht="18.600000000000001" customHeight="1" x14ac:dyDescent="0.25">
      <c r="A17" s="22" t="s">
        <v>177</v>
      </c>
      <c r="B17" s="104">
        <v>155.30000000000001</v>
      </c>
      <c r="C17" s="104"/>
      <c r="D17" s="22" t="s">
        <v>125</v>
      </c>
      <c r="E17" s="22">
        <v>2</v>
      </c>
      <c r="F17" s="58" t="s">
        <v>320</v>
      </c>
      <c r="G17" s="58" t="s">
        <v>321</v>
      </c>
      <c r="H17" s="56">
        <v>46237</v>
      </c>
      <c r="I17" s="56">
        <v>46268</v>
      </c>
      <c r="J17" s="58" t="s">
        <v>322</v>
      </c>
      <c r="K17" s="105">
        <f t="shared" si="0"/>
        <v>-1.0828025477706893</v>
      </c>
      <c r="L17" s="55" t="str">
        <f>IF(K17="","",IF(ABS(K17)&lt;='Start Here'!$B$33,"NEAR — watch",IF(K17&gt;0,"above price","below price")))</f>
        <v>below price</v>
      </c>
    </row>
    <row r="18" spans="1:12" ht="18.600000000000001" customHeight="1" x14ac:dyDescent="0.25">
      <c r="A18" s="22" t="s">
        <v>177</v>
      </c>
      <c r="B18" s="104">
        <v>151.94999999999999</v>
      </c>
      <c r="C18" s="104"/>
      <c r="D18" s="22" t="s">
        <v>119</v>
      </c>
      <c r="E18" s="22">
        <v>1</v>
      </c>
      <c r="F18" s="58" t="s">
        <v>323</v>
      </c>
      <c r="G18" s="58" t="s">
        <v>316</v>
      </c>
      <c r="H18" s="56">
        <v>44855</v>
      </c>
      <c r="I18" s="56"/>
      <c r="J18" s="58"/>
      <c r="K18" s="105">
        <f t="shared" si="0"/>
        <v>-3.216560509554145</v>
      </c>
      <c r="L18" s="55" t="str">
        <f>IF(K18="","",IF(ABS(K18)&lt;='Start Here'!$B$33,"NEAR — watch",IF(K18&gt;0,"above price","below price")))</f>
        <v>below price</v>
      </c>
    </row>
    <row r="19" spans="1:12" ht="18.600000000000001" customHeight="1" x14ac:dyDescent="0.25">
      <c r="A19" s="22" t="s">
        <v>177</v>
      </c>
      <c r="B19" s="104">
        <v>145.9</v>
      </c>
      <c r="C19" s="104"/>
      <c r="D19" s="22" t="s">
        <v>119</v>
      </c>
      <c r="E19" s="22">
        <v>1</v>
      </c>
      <c r="F19" s="58" t="s">
        <v>324</v>
      </c>
      <c r="G19" s="58" t="s">
        <v>316</v>
      </c>
      <c r="H19" s="56">
        <v>44826</v>
      </c>
      <c r="I19" s="56"/>
      <c r="J19" s="58"/>
      <c r="K19" s="105">
        <f t="shared" si="0"/>
        <v>-7.0700636942675139</v>
      </c>
      <c r="L19" s="55" t="str">
        <f>IF(K19="","",IF(ABS(K19)&lt;='Start Here'!$B$33,"NEAR — watch",IF(K19&gt;0,"above price","below price")))</f>
        <v>below price</v>
      </c>
    </row>
    <row r="20" spans="1:12" ht="18.600000000000001" customHeight="1" x14ac:dyDescent="0.25">
      <c r="A20" s="22" t="s">
        <v>179</v>
      </c>
      <c r="B20" s="104">
        <v>5602</v>
      </c>
      <c r="C20" s="104"/>
      <c r="D20" s="22" t="s">
        <v>125</v>
      </c>
      <c r="E20" s="22">
        <v>3</v>
      </c>
      <c r="F20" s="58" t="s">
        <v>325</v>
      </c>
      <c r="G20" s="58" t="s">
        <v>326</v>
      </c>
      <c r="H20" s="56">
        <v>46051</v>
      </c>
      <c r="I20" s="56"/>
      <c r="J20" s="58"/>
      <c r="K20" s="105">
        <f t="shared" si="0"/>
        <v>27.31818181818182</v>
      </c>
      <c r="L20" s="55" t="str">
        <f>IF(K20="","",IF(ABS(K20)&lt;='Start Here'!$B$33,"NEAR — watch",IF(K20&gt;0,"above price","below price")))</f>
        <v>above price</v>
      </c>
    </row>
    <row r="21" spans="1:12" ht="31.15" customHeight="1" x14ac:dyDescent="0.25">
      <c r="A21" s="22" t="s">
        <v>179</v>
      </c>
      <c r="B21" s="104">
        <v>4563</v>
      </c>
      <c r="C21" s="104"/>
      <c r="D21" s="22" t="s">
        <v>125</v>
      </c>
      <c r="E21" s="22">
        <v>2</v>
      </c>
      <c r="F21" s="58" t="s">
        <v>327</v>
      </c>
      <c r="G21" s="58" t="s">
        <v>328</v>
      </c>
      <c r="H21" s="56">
        <v>46265</v>
      </c>
      <c r="I21" s="56"/>
      <c r="J21" s="58"/>
      <c r="K21" s="105">
        <f t="shared" si="0"/>
        <v>3.7045454545454604</v>
      </c>
      <c r="L21" s="55" t="str">
        <f>IF(K21="","",IF(ABS(K21)&lt;='Start Here'!$B$33,"NEAR — watch",IF(K21&gt;0,"above price","below price")))</f>
        <v>above price</v>
      </c>
    </row>
    <row r="22" spans="1:12" ht="18.600000000000001" customHeight="1" x14ac:dyDescent="0.25">
      <c r="A22" s="22" t="s">
        <v>179</v>
      </c>
      <c r="B22" s="104">
        <v>4439.8</v>
      </c>
      <c r="C22" s="104"/>
      <c r="D22" s="22" t="s">
        <v>125</v>
      </c>
      <c r="E22" s="22">
        <v>1</v>
      </c>
      <c r="F22" s="58" t="s">
        <v>329</v>
      </c>
      <c r="G22" s="58" t="s">
        <v>330</v>
      </c>
      <c r="H22" s="56">
        <v>46283</v>
      </c>
      <c r="I22" s="56"/>
      <c r="J22" s="58"/>
      <c r="K22" s="105">
        <f t="shared" si="0"/>
        <v>0.90454545454545787</v>
      </c>
      <c r="L22" s="55" t="str">
        <f>IF(K22="","",IF(ABS(K22)&lt;='Start Here'!$B$33,"NEAR — watch",IF(K22&gt;0,"above price","below price")))</f>
        <v>above price</v>
      </c>
    </row>
    <row r="23" spans="1:12" ht="18.600000000000001" customHeight="1" x14ac:dyDescent="0.25">
      <c r="A23" s="22" t="s">
        <v>179</v>
      </c>
      <c r="B23" s="104">
        <v>4261</v>
      </c>
      <c r="C23" s="104"/>
      <c r="D23" s="22" t="s">
        <v>125</v>
      </c>
      <c r="E23" s="22">
        <v>2</v>
      </c>
      <c r="F23" s="58" t="s">
        <v>331</v>
      </c>
      <c r="G23" s="58" t="s">
        <v>332</v>
      </c>
      <c r="H23" s="56">
        <v>46281</v>
      </c>
      <c r="I23" s="56">
        <v>46281</v>
      </c>
      <c r="J23" s="58" t="s">
        <v>333</v>
      </c>
      <c r="K23" s="105">
        <f t="shared" si="0"/>
        <v>-3.1590909090909114</v>
      </c>
      <c r="L23" s="55" t="str">
        <f>IF(K23="","",IF(ABS(K23)&lt;='Start Here'!$B$33,"NEAR — watch",IF(K23&gt;0,"above price","below price")))</f>
        <v>below price</v>
      </c>
    </row>
    <row r="24" spans="1:12" ht="31.15" customHeight="1" x14ac:dyDescent="0.25">
      <c r="A24" s="22" t="s">
        <v>179</v>
      </c>
      <c r="B24" s="104">
        <v>4000</v>
      </c>
      <c r="C24" s="104">
        <v>4065</v>
      </c>
      <c r="D24" s="22" t="s">
        <v>125</v>
      </c>
      <c r="E24" s="22">
        <v>2</v>
      </c>
      <c r="F24" s="58" t="s">
        <v>334</v>
      </c>
      <c r="G24" s="58" t="s">
        <v>335</v>
      </c>
      <c r="H24" s="56"/>
      <c r="I24" s="56"/>
      <c r="J24" s="58"/>
      <c r="K24" s="105">
        <f t="shared" si="0"/>
        <v>-9.0909090909090935</v>
      </c>
      <c r="L24" s="55" t="str">
        <f>IF(K24="","",IF(ABS(K24)&lt;='Start Here'!$B$33,"NEAR — watch",IF(K24&gt;0,"above price","below price")))</f>
        <v>below price</v>
      </c>
    </row>
    <row r="25" spans="1:12" x14ac:dyDescent="0.25">
      <c r="A25" s="22"/>
      <c r="B25" s="104"/>
      <c r="C25" s="104"/>
      <c r="D25" s="22"/>
      <c r="E25" s="22"/>
      <c r="F25" s="58"/>
      <c r="G25" s="58"/>
      <c r="H25" s="56"/>
      <c r="I25" s="56"/>
      <c r="J25" s="58"/>
      <c r="K25" s="105" t="str">
        <f t="shared" si="0"/>
        <v/>
      </c>
      <c r="L25" s="55" t="str">
        <f>IF(K25="","",IF(ABS(K25)&lt;='Start Here'!$B$33,"NEAR — watch",IF(K25&gt;0,"above price","below price")))</f>
        <v/>
      </c>
    </row>
    <row r="26" spans="1:12" x14ac:dyDescent="0.25">
      <c r="A26" s="22"/>
      <c r="B26" s="104"/>
      <c r="C26" s="104"/>
      <c r="D26" s="22"/>
      <c r="E26" s="22"/>
      <c r="F26" s="58"/>
      <c r="G26" s="58"/>
      <c r="H26" s="56"/>
      <c r="I26" s="56"/>
      <c r="J26" s="58"/>
      <c r="K26" s="105" t="str">
        <f t="shared" si="0"/>
        <v/>
      </c>
      <c r="L26" s="55" t="str">
        <f>IF(K26="","",IF(ABS(K26)&lt;='Start Here'!$B$33,"NEAR — watch",IF(K26&gt;0,"above price","below price")))</f>
        <v/>
      </c>
    </row>
    <row r="27" spans="1:12" x14ac:dyDescent="0.25">
      <c r="A27" s="22"/>
      <c r="B27" s="104"/>
      <c r="C27" s="104"/>
      <c r="D27" s="22"/>
      <c r="E27" s="22"/>
      <c r="F27" s="58"/>
      <c r="G27" s="58"/>
      <c r="H27" s="56"/>
      <c r="I27" s="56"/>
      <c r="J27" s="58"/>
      <c r="K27" s="105" t="str">
        <f t="shared" si="0"/>
        <v/>
      </c>
      <c r="L27" s="55" t="str">
        <f>IF(K27="","",IF(ABS(K27)&lt;='Start Here'!$B$33,"NEAR — watch",IF(K27&gt;0,"above price","below price")))</f>
        <v/>
      </c>
    </row>
    <row r="28" spans="1:12" x14ac:dyDescent="0.25">
      <c r="A28" s="22"/>
      <c r="B28" s="104"/>
      <c r="C28" s="104"/>
      <c r="D28" s="22"/>
      <c r="E28" s="22"/>
      <c r="F28" s="58"/>
      <c r="G28" s="58"/>
      <c r="H28" s="56"/>
      <c r="I28" s="56"/>
      <c r="J28" s="58"/>
      <c r="K28" s="105" t="str">
        <f t="shared" si="0"/>
        <v/>
      </c>
      <c r="L28" s="55" t="str">
        <f>IF(K28="","",IF(ABS(K28)&lt;='Start Here'!$B$33,"NEAR — watch",IF(K28&gt;0,"above price","below price")))</f>
        <v/>
      </c>
    </row>
    <row r="29" spans="1:12" x14ac:dyDescent="0.25">
      <c r="A29" s="22"/>
      <c r="B29" s="104"/>
      <c r="C29" s="104"/>
      <c r="D29" s="22"/>
      <c r="E29" s="22"/>
      <c r="F29" s="58"/>
      <c r="G29" s="58"/>
      <c r="H29" s="56"/>
      <c r="I29" s="56"/>
      <c r="J29" s="58"/>
      <c r="K29" s="105" t="str">
        <f t="shared" si="0"/>
        <v/>
      </c>
      <c r="L29" s="55" t="str">
        <f>IF(K29="","",IF(ABS(K29)&lt;='Start Here'!$B$33,"NEAR — watch",IF(K29&gt;0,"above price","below price")))</f>
        <v/>
      </c>
    </row>
    <row r="30" spans="1:12" x14ac:dyDescent="0.25">
      <c r="A30" s="22"/>
      <c r="B30" s="104"/>
      <c r="C30" s="104"/>
      <c r="D30" s="22"/>
      <c r="E30" s="22"/>
      <c r="F30" s="58"/>
      <c r="G30" s="58"/>
      <c r="H30" s="56"/>
      <c r="I30" s="56"/>
      <c r="J30" s="58"/>
      <c r="K30" s="105" t="str">
        <f t="shared" si="0"/>
        <v/>
      </c>
      <c r="L30" s="55" t="str">
        <f>IF(K30="","",IF(ABS(K30)&lt;='Start Here'!$B$33,"NEAR — watch",IF(K30&gt;0,"above price","below price")))</f>
        <v/>
      </c>
    </row>
    <row r="31" spans="1:12" x14ac:dyDescent="0.25">
      <c r="A31" s="22"/>
      <c r="B31" s="104"/>
      <c r="C31" s="104"/>
      <c r="D31" s="22"/>
      <c r="E31" s="22"/>
      <c r="F31" s="58"/>
      <c r="G31" s="58"/>
      <c r="H31" s="56"/>
      <c r="I31" s="56"/>
      <c r="J31" s="58"/>
      <c r="K31" s="105" t="str">
        <f t="shared" si="0"/>
        <v/>
      </c>
      <c r="L31" s="55" t="str">
        <f>IF(K31="","",IF(ABS(K31)&lt;='Start Here'!$B$33,"NEAR — watch",IF(K31&gt;0,"above price","below price")))</f>
        <v/>
      </c>
    </row>
    <row r="32" spans="1:12" x14ac:dyDescent="0.25">
      <c r="A32" s="22"/>
      <c r="B32" s="104"/>
      <c r="C32" s="104"/>
      <c r="D32" s="22"/>
      <c r="E32" s="22"/>
      <c r="F32" s="58"/>
      <c r="G32" s="58"/>
      <c r="H32" s="56"/>
      <c r="I32" s="56"/>
      <c r="J32" s="58"/>
      <c r="K32" s="105" t="str">
        <f t="shared" si="0"/>
        <v/>
      </c>
      <c r="L32" s="55" t="str">
        <f>IF(K32="","",IF(ABS(K32)&lt;='Start Here'!$B$33,"NEAR — watch",IF(K32&gt;0,"above price","below price")))</f>
        <v/>
      </c>
    </row>
    <row r="33" spans="1:12" x14ac:dyDescent="0.25">
      <c r="A33" s="22"/>
      <c r="B33" s="104"/>
      <c r="C33" s="104"/>
      <c r="D33" s="22"/>
      <c r="E33" s="22"/>
      <c r="F33" s="58"/>
      <c r="G33" s="58"/>
      <c r="H33" s="56"/>
      <c r="I33" s="56"/>
      <c r="J33" s="58"/>
      <c r="K33" s="105" t="str">
        <f t="shared" si="0"/>
        <v/>
      </c>
      <c r="L33" s="55" t="str">
        <f>IF(K33="","",IF(ABS(K33)&lt;='Start Here'!$B$33,"NEAR — watch",IF(K33&gt;0,"above price","below price")))</f>
        <v/>
      </c>
    </row>
    <row r="34" spans="1:12" x14ac:dyDescent="0.25">
      <c r="A34" s="22"/>
      <c r="B34" s="104"/>
      <c r="C34" s="104"/>
      <c r="D34" s="22"/>
      <c r="E34" s="22"/>
      <c r="F34" s="58"/>
      <c r="G34" s="58"/>
      <c r="H34" s="56"/>
      <c r="I34" s="56"/>
      <c r="J34" s="58"/>
      <c r="K34" s="105" t="str">
        <f t="shared" si="0"/>
        <v/>
      </c>
      <c r="L34" s="55" t="str">
        <f>IF(K34="","",IF(ABS(K34)&lt;='Start Here'!$B$33,"NEAR — watch",IF(K34&gt;0,"above price","below price")))</f>
        <v/>
      </c>
    </row>
    <row r="35" spans="1:12" x14ac:dyDescent="0.25">
      <c r="A35" s="22"/>
      <c r="B35" s="104"/>
      <c r="C35" s="104"/>
      <c r="D35" s="22"/>
      <c r="E35" s="22"/>
      <c r="F35" s="58"/>
      <c r="G35" s="58"/>
      <c r="H35" s="56"/>
      <c r="I35" s="56"/>
      <c r="J35" s="58"/>
      <c r="K35" s="105" t="str">
        <f t="shared" si="0"/>
        <v/>
      </c>
      <c r="L35" s="55" t="str">
        <f>IF(K35="","",IF(ABS(K35)&lt;='Start Here'!$B$33,"NEAR — watch",IF(K35&gt;0,"above price","below price")))</f>
        <v/>
      </c>
    </row>
    <row r="36" spans="1:12" x14ac:dyDescent="0.25">
      <c r="A36" s="22"/>
      <c r="B36" s="104"/>
      <c r="C36" s="104"/>
      <c r="D36" s="22"/>
      <c r="E36" s="22"/>
      <c r="F36" s="58"/>
      <c r="G36" s="58"/>
      <c r="H36" s="56"/>
      <c r="I36" s="56"/>
      <c r="J36" s="58"/>
      <c r="K36" s="105" t="str">
        <f t="shared" si="0"/>
        <v/>
      </c>
      <c r="L36" s="55" t="str">
        <f>IF(K36="","",IF(ABS(K36)&lt;='Start Here'!$B$33,"NEAR — watch",IF(K36&gt;0,"above price","below price")))</f>
        <v/>
      </c>
    </row>
    <row r="37" spans="1:12" x14ac:dyDescent="0.25">
      <c r="A37" s="22"/>
      <c r="B37" s="104"/>
      <c r="C37" s="104"/>
      <c r="D37" s="22"/>
      <c r="E37" s="22"/>
      <c r="F37" s="58"/>
      <c r="G37" s="58"/>
      <c r="H37" s="56"/>
      <c r="I37" s="56"/>
      <c r="J37" s="58"/>
      <c r="K37" s="105" t="str">
        <f t="shared" si="0"/>
        <v/>
      </c>
      <c r="L37" s="55" t="str">
        <f>IF(K37="","",IF(ABS(K37)&lt;='Start Here'!$B$33,"NEAR — watch",IF(K37&gt;0,"above price","below price")))</f>
        <v/>
      </c>
    </row>
    <row r="38" spans="1:12" x14ac:dyDescent="0.25">
      <c r="A38" s="22"/>
      <c r="B38" s="104"/>
      <c r="C38" s="104"/>
      <c r="D38" s="22"/>
      <c r="E38" s="22"/>
      <c r="F38" s="58"/>
      <c r="G38" s="58"/>
      <c r="H38" s="56"/>
      <c r="I38" s="56"/>
      <c r="J38" s="58"/>
      <c r="K38" s="105" t="str">
        <f t="shared" si="0"/>
        <v/>
      </c>
      <c r="L38" s="55" t="str">
        <f>IF(K38="","",IF(ABS(K38)&lt;='Start Here'!$B$33,"NEAR — watch",IF(K38&gt;0,"above price","below price")))</f>
        <v/>
      </c>
    </row>
    <row r="39" spans="1:12" x14ac:dyDescent="0.25">
      <c r="A39" s="22"/>
      <c r="B39" s="104"/>
      <c r="C39" s="104"/>
      <c r="D39" s="22"/>
      <c r="E39" s="22"/>
      <c r="F39" s="58"/>
      <c r="G39" s="58"/>
      <c r="H39" s="56"/>
      <c r="I39" s="56"/>
      <c r="J39" s="58"/>
      <c r="K39" s="105" t="str">
        <f t="shared" si="0"/>
        <v/>
      </c>
      <c r="L39" s="55" t="str">
        <f>IF(K39="","",IF(ABS(K39)&lt;='Start Here'!$B$33,"NEAR — watch",IF(K39&gt;0,"above price","below price")))</f>
        <v/>
      </c>
    </row>
    <row r="40" spans="1:12" x14ac:dyDescent="0.25">
      <c r="A40" s="22"/>
      <c r="B40" s="104"/>
      <c r="C40" s="104"/>
      <c r="D40" s="22"/>
      <c r="E40" s="22"/>
      <c r="F40" s="58"/>
      <c r="G40" s="58"/>
      <c r="H40" s="56"/>
      <c r="I40" s="56"/>
      <c r="J40" s="58"/>
      <c r="K40" s="105" t="str">
        <f t="shared" si="0"/>
        <v/>
      </c>
      <c r="L40" s="55" t="str">
        <f>IF(K40="","",IF(ABS(K40)&lt;='Start Here'!$B$33,"NEAR — watch",IF(K40&gt;0,"above price","below price")))</f>
        <v/>
      </c>
    </row>
    <row r="41" spans="1:12" x14ac:dyDescent="0.25">
      <c r="A41" s="22"/>
      <c r="B41" s="104"/>
      <c r="C41" s="104"/>
      <c r="D41" s="22"/>
      <c r="E41" s="22"/>
      <c r="F41" s="58"/>
      <c r="G41" s="58"/>
      <c r="H41" s="56"/>
      <c r="I41" s="56"/>
      <c r="J41" s="58"/>
      <c r="K41" s="105" t="str">
        <f t="shared" si="0"/>
        <v/>
      </c>
      <c r="L41" s="55" t="str">
        <f>IF(K41="","",IF(ABS(K41)&lt;='Start Here'!$B$33,"NEAR — watch",IF(K41&gt;0,"above price","below price")))</f>
        <v/>
      </c>
    </row>
    <row r="42" spans="1:12" x14ac:dyDescent="0.25">
      <c r="A42" s="22"/>
      <c r="B42" s="104"/>
      <c r="C42" s="104"/>
      <c r="D42" s="22"/>
      <c r="E42" s="22"/>
      <c r="F42" s="58"/>
      <c r="G42" s="58"/>
      <c r="H42" s="56"/>
      <c r="I42" s="56"/>
      <c r="J42" s="58"/>
      <c r="K42" s="105" t="str">
        <f t="shared" si="0"/>
        <v/>
      </c>
      <c r="L42" s="55" t="str">
        <f>IF(K42="","",IF(ABS(K42)&lt;='Start Here'!$B$33,"NEAR — watch",IF(K42&gt;0,"above price","below price")))</f>
        <v/>
      </c>
    </row>
    <row r="43" spans="1:12" x14ac:dyDescent="0.25">
      <c r="A43" s="22"/>
      <c r="B43" s="104"/>
      <c r="C43" s="104"/>
      <c r="D43" s="22"/>
      <c r="E43" s="22"/>
      <c r="F43" s="58"/>
      <c r="G43" s="58"/>
      <c r="H43" s="56"/>
      <c r="I43" s="56"/>
      <c r="J43" s="58"/>
      <c r="K43" s="105" t="str">
        <f t="shared" si="0"/>
        <v/>
      </c>
      <c r="L43" s="55" t="str">
        <f>IF(K43="","",IF(ABS(K43)&lt;='Start Here'!$B$33,"NEAR — watch",IF(K43&gt;0,"above price","below price")))</f>
        <v/>
      </c>
    </row>
    <row r="44" spans="1:12" x14ac:dyDescent="0.25">
      <c r="A44" s="22"/>
      <c r="B44" s="104"/>
      <c r="C44" s="104"/>
      <c r="D44" s="22"/>
      <c r="E44" s="22"/>
      <c r="F44" s="58"/>
      <c r="G44" s="58"/>
      <c r="H44" s="56"/>
      <c r="I44" s="56"/>
      <c r="J44" s="58"/>
      <c r="K44" s="105" t="str">
        <f t="shared" si="0"/>
        <v/>
      </c>
      <c r="L44" s="55" t="str">
        <f>IF(K44="","",IF(ABS(K44)&lt;='Start Here'!$B$33,"NEAR — watch",IF(K44&gt;0,"above price","below price")))</f>
        <v/>
      </c>
    </row>
    <row r="45" spans="1:12" x14ac:dyDescent="0.25">
      <c r="A45" s="22"/>
      <c r="B45" s="104"/>
      <c r="C45" s="104"/>
      <c r="D45" s="22"/>
      <c r="E45" s="22"/>
      <c r="F45" s="58"/>
      <c r="G45" s="58"/>
      <c r="H45" s="56"/>
      <c r="I45" s="56"/>
      <c r="J45" s="58"/>
      <c r="K45" s="105" t="str">
        <f t="shared" si="0"/>
        <v/>
      </c>
      <c r="L45" s="55" t="str">
        <f>IF(K45="","",IF(ABS(K45)&lt;='Start Here'!$B$33,"NEAR — watch",IF(K45&gt;0,"above price","below price")))</f>
        <v/>
      </c>
    </row>
    <row r="46" spans="1:12" x14ac:dyDescent="0.25">
      <c r="A46" s="22"/>
      <c r="B46" s="104"/>
      <c r="C46" s="104"/>
      <c r="D46" s="22"/>
      <c r="E46" s="22"/>
      <c r="F46" s="58"/>
      <c r="G46" s="58"/>
      <c r="H46" s="56"/>
      <c r="I46" s="56"/>
      <c r="J46" s="58"/>
      <c r="K46" s="105" t="str">
        <f t="shared" si="0"/>
        <v/>
      </c>
      <c r="L46" s="55" t="str">
        <f>IF(K46="","",IF(ABS(K46)&lt;='Start Here'!$B$33,"NEAR — watch",IF(K46&gt;0,"above price","below price")))</f>
        <v/>
      </c>
    </row>
    <row r="47" spans="1:12" x14ac:dyDescent="0.25">
      <c r="A47" s="22"/>
      <c r="B47" s="104"/>
      <c r="C47" s="104"/>
      <c r="D47" s="22"/>
      <c r="E47" s="22"/>
      <c r="F47" s="58"/>
      <c r="G47" s="58"/>
      <c r="H47" s="56"/>
      <c r="I47" s="56"/>
      <c r="J47" s="58"/>
      <c r="K47" s="105" t="str">
        <f t="shared" si="0"/>
        <v/>
      </c>
      <c r="L47" s="55" t="str">
        <f>IF(K47="","",IF(ABS(K47)&lt;='Start Here'!$B$33,"NEAR — watch",IF(K47&gt;0,"above price","below price")))</f>
        <v/>
      </c>
    </row>
    <row r="48" spans="1:12" x14ac:dyDescent="0.25">
      <c r="A48" s="22"/>
      <c r="B48" s="104"/>
      <c r="C48" s="104"/>
      <c r="D48" s="22"/>
      <c r="E48" s="22"/>
      <c r="F48" s="58"/>
      <c r="G48" s="58"/>
      <c r="H48" s="56"/>
      <c r="I48" s="56"/>
      <c r="J48" s="58"/>
      <c r="K48" s="105" t="str">
        <f t="shared" si="0"/>
        <v/>
      </c>
      <c r="L48" s="55" t="str">
        <f>IF(K48="","",IF(ABS(K48)&lt;='Start Here'!$B$33,"NEAR — watch",IF(K48&gt;0,"above price","below price")))</f>
        <v/>
      </c>
    </row>
    <row r="49" spans="1:12" x14ac:dyDescent="0.25">
      <c r="A49" s="22"/>
      <c r="B49" s="104"/>
      <c r="C49" s="104"/>
      <c r="D49" s="22"/>
      <c r="E49" s="22"/>
      <c r="F49" s="58"/>
      <c r="G49" s="58"/>
      <c r="H49" s="56"/>
      <c r="I49" s="56"/>
      <c r="J49" s="58"/>
      <c r="K49" s="105" t="str">
        <f t="shared" si="0"/>
        <v/>
      </c>
      <c r="L49" s="55" t="str">
        <f>IF(K49="","",IF(ABS(K49)&lt;='Start Here'!$B$33,"NEAR — watch",IF(K49&gt;0,"above price","below price")))</f>
        <v/>
      </c>
    </row>
    <row r="50" spans="1:12" x14ac:dyDescent="0.25">
      <c r="A50" s="22"/>
      <c r="B50" s="104"/>
      <c r="C50" s="104"/>
      <c r="D50" s="22"/>
      <c r="E50" s="22"/>
      <c r="F50" s="58"/>
      <c r="G50" s="58"/>
      <c r="H50" s="56"/>
      <c r="I50" s="56"/>
      <c r="J50" s="58"/>
      <c r="K50" s="105" t="str">
        <f t="shared" si="0"/>
        <v/>
      </c>
      <c r="L50" s="55" t="str">
        <f>IF(K50="","",IF(ABS(K50)&lt;='Start Here'!$B$33,"NEAR — watch",IF(K50&gt;0,"above price","below price")))</f>
        <v/>
      </c>
    </row>
    <row r="51" spans="1:12" x14ac:dyDescent="0.25">
      <c r="A51" s="22"/>
      <c r="B51" s="104"/>
      <c r="C51" s="104"/>
      <c r="D51" s="22"/>
      <c r="E51" s="22"/>
      <c r="F51" s="58"/>
      <c r="G51" s="58"/>
      <c r="H51" s="56"/>
      <c r="I51" s="56"/>
      <c r="J51" s="58"/>
      <c r="K51" s="105" t="str">
        <f t="shared" si="0"/>
        <v/>
      </c>
      <c r="L51" s="55" t="str">
        <f>IF(K51="","",IF(ABS(K51)&lt;='Start Here'!$B$33,"NEAR — watch",IF(K51&gt;0,"above price","below price")))</f>
        <v/>
      </c>
    </row>
    <row r="52" spans="1:12" x14ac:dyDescent="0.25">
      <c r="A52" s="22"/>
      <c r="B52" s="104"/>
      <c r="C52" s="104"/>
      <c r="D52" s="22"/>
      <c r="E52" s="22"/>
      <c r="F52" s="58"/>
      <c r="G52" s="58"/>
      <c r="H52" s="56"/>
      <c r="I52" s="56"/>
      <c r="J52" s="58"/>
      <c r="K52" s="105" t="str">
        <f t="shared" si="0"/>
        <v/>
      </c>
      <c r="L52" s="55" t="str">
        <f>IF(K52="","",IF(ABS(K52)&lt;='Start Here'!$B$33,"NEAR — watch",IF(K52&gt;0,"above price","below price")))</f>
        <v/>
      </c>
    </row>
  </sheetData>
  <autoFilter ref="A12:L52" xr:uid="{00000000-0009-0000-0000-000005000000}"/>
  <conditionalFormatting sqref="D13:D52">
    <cfRule type="expression" dxfId="27" priority="3" stopIfTrue="1">
      <formula>ISNUMBER(SEARCH("Policy",D13))</formula>
    </cfRule>
    <cfRule type="expression" dxfId="26" priority="4" stopIfTrue="1">
      <formula>ISNUMBER(SEARCH("GEX",D13))</formula>
    </cfRule>
    <cfRule type="expression" dxfId="25" priority="6" stopIfTrue="1">
      <formula>ISNUMBER(SEARCH("Structural",D13))</formula>
    </cfRule>
    <cfRule type="expression" dxfId="24" priority="6" stopIfTrue="1">
      <formula>ISNUMBER(SEARCH("Session",D13))</formula>
    </cfRule>
  </conditionalFormatting>
  <conditionalFormatting sqref="E13:E52">
    <cfRule type="cellIs" dxfId="23" priority="5" operator="equal">
      <formula>3</formula>
    </cfRule>
  </conditionalFormatting>
  <conditionalFormatting sqref="L13:L52">
    <cfRule type="expression" dxfId="22" priority="2">
      <formula>ISNUMBER(SEARCH("NEAR",L13))</formula>
    </cfRule>
  </conditionalFormatting>
  <dataValidations count="3">
    <dataValidation type="list" sqref="D13:D52" xr:uid="{00000000-0002-0000-0500-000000000000}">
      <formula1>"Policy line,Options / GEX,Structural,Session"</formula1>
      <formula2>0</formula2>
    </dataValidation>
    <dataValidation type="list" sqref="A13:A52" xr:uid="{00000000-0002-0000-0500-000001000000}">
      <formula1>$A$6:$A$10</formula1>
      <formula2>0</formula2>
    </dataValidation>
    <dataValidation type="list" sqref="E13:E52" xr:uid="{00000000-0002-0000-0500-000002000000}">
      <formula1>"1,2,3"</formula1>
      <formula2>0</formula2>
    </dataValidation>
  </dataValidations>
  <hyperlinks>
    <hyperlink ref="L1" location="'Start Here'!A1" display="← Start Here" xr:uid="{00000000-0004-0000-0500-000000000000}"/>
  </hyperlink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K55"/>
  <sheetViews>
    <sheetView showGridLines="0" zoomScaleNormal="100" workbookViewId="0">
      <pane ySplit="4" topLeftCell="A5" activePane="bottomLeft" state="frozen"/>
      <selection pane="bottomLeft" activeCell="A6" sqref="A6"/>
    </sheetView>
  </sheetViews>
  <sheetFormatPr defaultColWidth="8.7109375" defaultRowHeight="15" x14ac:dyDescent="0.25"/>
  <cols>
    <col min="1" max="1" width="11" customWidth="1"/>
    <col min="2" max="2" width="13" customWidth="1"/>
    <col min="3" max="3" width="9" customWidth="1"/>
    <col min="4" max="4" width="8" customWidth="1"/>
    <col min="5" max="5" width="11" customWidth="1"/>
    <col min="6" max="6" width="34" customWidth="1"/>
    <col min="7" max="7" width="24" customWidth="1"/>
    <col min="8" max="8" width="30" customWidth="1"/>
    <col min="9" max="9" width="26" customWidth="1"/>
    <col min="10" max="10" width="12" customWidth="1"/>
    <col min="11" max="11" width="34" customWidth="1"/>
  </cols>
  <sheetData>
    <row r="1" spans="1:11" ht="33.950000000000003" customHeight="1" x14ac:dyDescent="0.25">
      <c r="A1" s="2" t="s">
        <v>336</v>
      </c>
      <c r="B1" s="3"/>
      <c r="C1" s="3"/>
      <c r="D1" s="3"/>
      <c r="E1" s="3"/>
      <c r="F1" s="3"/>
      <c r="G1" s="3"/>
      <c r="H1" s="3"/>
      <c r="I1" s="3"/>
      <c r="J1" s="3"/>
      <c r="K1" s="47" t="s">
        <v>152</v>
      </c>
    </row>
    <row r="2" spans="1:11" ht="20.100000000000001" customHeight="1" x14ac:dyDescent="0.25">
      <c r="A2" s="4" t="s">
        <v>337</v>
      </c>
    </row>
    <row r="3" spans="1:11" ht="8.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31.15" customHeight="1" x14ac:dyDescent="0.25">
      <c r="A4" s="48" t="s">
        <v>338</v>
      </c>
      <c r="B4" s="48" t="s">
        <v>293</v>
      </c>
      <c r="C4" s="48" t="s">
        <v>339</v>
      </c>
      <c r="D4" s="48" t="s">
        <v>277</v>
      </c>
      <c r="E4" s="48" t="s">
        <v>283</v>
      </c>
      <c r="F4" s="48" t="s">
        <v>340</v>
      </c>
      <c r="G4" s="48" t="s">
        <v>341</v>
      </c>
      <c r="H4" s="48" t="s">
        <v>342</v>
      </c>
      <c r="I4" s="48" t="s">
        <v>343</v>
      </c>
      <c r="J4" s="48" t="s">
        <v>344</v>
      </c>
      <c r="K4" s="48" t="s">
        <v>345</v>
      </c>
    </row>
    <row r="5" spans="1:11" ht="43.9" customHeight="1" x14ac:dyDescent="0.25">
      <c r="A5" s="56">
        <v>46284</v>
      </c>
      <c r="B5" s="58" t="s">
        <v>179</v>
      </c>
      <c r="C5" s="22" t="s">
        <v>96</v>
      </c>
      <c r="D5" s="22">
        <v>0</v>
      </c>
      <c r="E5" s="22" t="s">
        <v>346</v>
      </c>
      <c r="F5" s="58" t="s">
        <v>347</v>
      </c>
      <c r="G5" s="58" t="s">
        <v>348</v>
      </c>
      <c r="H5" s="58" t="s">
        <v>349</v>
      </c>
      <c r="I5" s="58"/>
      <c r="J5" s="22"/>
      <c r="K5" s="58"/>
    </row>
    <row r="6" spans="1:11" x14ac:dyDescent="0.25">
      <c r="A6" s="56"/>
      <c r="B6" s="58"/>
      <c r="C6" s="22"/>
      <c r="D6" s="22"/>
      <c r="E6" s="22"/>
      <c r="F6" s="58"/>
      <c r="G6" s="58"/>
      <c r="H6" s="58"/>
      <c r="I6" s="58"/>
      <c r="J6" s="22"/>
      <c r="K6" s="58"/>
    </row>
    <row r="7" spans="1:11" x14ac:dyDescent="0.25">
      <c r="A7" s="56"/>
      <c r="B7" s="58"/>
      <c r="C7" s="22"/>
      <c r="D7" s="22"/>
      <c r="E7" s="22"/>
      <c r="F7" s="58"/>
      <c r="G7" s="58"/>
      <c r="H7" s="58"/>
      <c r="I7" s="58"/>
      <c r="J7" s="22"/>
      <c r="K7" s="58"/>
    </row>
    <row r="8" spans="1:11" x14ac:dyDescent="0.25">
      <c r="A8" s="56"/>
      <c r="B8" s="58"/>
      <c r="C8" s="22"/>
      <c r="D8" s="22"/>
      <c r="E8" s="22"/>
      <c r="F8" s="58"/>
      <c r="G8" s="58"/>
      <c r="H8" s="58"/>
      <c r="I8" s="58"/>
      <c r="J8" s="22"/>
      <c r="K8" s="58"/>
    </row>
    <row r="9" spans="1:11" x14ac:dyDescent="0.25">
      <c r="A9" s="56"/>
      <c r="B9" s="58"/>
      <c r="C9" s="22"/>
      <c r="D9" s="22"/>
      <c r="E9" s="22"/>
      <c r="F9" s="58"/>
      <c r="G9" s="58"/>
      <c r="H9" s="58"/>
      <c r="I9" s="58"/>
      <c r="J9" s="22"/>
      <c r="K9" s="58"/>
    </row>
    <row r="10" spans="1:11" x14ac:dyDescent="0.25">
      <c r="A10" s="56"/>
      <c r="B10" s="58"/>
      <c r="C10" s="22"/>
      <c r="D10" s="22"/>
      <c r="E10" s="22"/>
      <c r="F10" s="58"/>
      <c r="G10" s="58"/>
      <c r="H10" s="58"/>
      <c r="I10" s="58"/>
      <c r="J10" s="22"/>
      <c r="K10" s="58"/>
    </row>
    <row r="11" spans="1:11" x14ac:dyDescent="0.25">
      <c r="A11" s="56"/>
      <c r="B11" s="58"/>
      <c r="C11" s="22"/>
      <c r="D11" s="22"/>
      <c r="E11" s="22"/>
      <c r="F11" s="58"/>
      <c r="G11" s="58"/>
      <c r="H11" s="58"/>
      <c r="I11" s="58"/>
      <c r="J11" s="22"/>
      <c r="K11" s="58"/>
    </row>
    <row r="12" spans="1:11" x14ac:dyDescent="0.25">
      <c r="A12" s="56"/>
      <c r="B12" s="58"/>
      <c r="C12" s="22"/>
      <c r="D12" s="22"/>
      <c r="E12" s="22"/>
      <c r="F12" s="58"/>
      <c r="G12" s="58"/>
      <c r="H12" s="58"/>
      <c r="I12" s="58"/>
      <c r="J12" s="22"/>
      <c r="K12" s="58"/>
    </row>
    <row r="13" spans="1:11" x14ac:dyDescent="0.25">
      <c r="A13" s="56"/>
      <c r="B13" s="58"/>
      <c r="C13" s="22"/>
      <c r="D13" s="22"/>
      <c r="E13" s="22"/>
      <c r="F13" s="58"/>
      <c r="G13" s="58"/>
      <c r="H13" s="58"/>
      <c r="I13" s="58"/>
      <c r="J13" s="22"/>
      <c r="K13" s="58"/>
    </row>
    <row r="14" spans="1:11" x14ac:dyDescent="0.25">
      <c r="A14" s="56"/>
      <c r="B14" s="58"/>
      <c r="C14" s="22"/>
      <c r="D14" s="22"/>
      <c r="E14" s="22"/>
      <c r="F14" s="58"/>
      <c r="G14" s="58"/>
      <c r="H14" s="58"/>
      <c r="I14" s="58"/>
      <c r="J14" s="22"/>
      <c r="K14" s="58"/>
    </row>
    <row r="15" spans="1:11" x14ac:dyDescent="0.25">
      <c r="A15" s="56"/>
      <c r="B15" s="58"/>
      <c r="C15" s="22"/>
      <c r="D15" s="22"/>
      <c r="E15" s="22"/>
      <c r="F15" s="58"/>
      <c r="G15" s="58"/>
      <c r="H15" s="58"/>
      <c r="I15" s="58"/>
      <c r="J15" s="22"/>
      <c r="K15" s="58"/>
    </row>
    <row r="16" spans="1:11" x14ac:dyDescent="0.25">
      <c r="A16" s="56"/>
      <c r="B16" s="58"/>
      <c r="C16" s="22"/>
      <c r="D16" s="22"/>
      <c r="E16" s="22"/>
      <c r="F16" s="58"/>
      <c r="G16" s="58"/>
      <c r="H16" s="58"/>
      <c r="I16" s="58"/>
      <c r="J16" s="22"/>
      <c r="K16" s="58"/>
    </row>
    <row r="17" spans="1:11" x14ac:dyDescent="0.25">
      <c r="A17" s="56"/>
      <c r="B17" s="58"/>
      <c r="C17" s="22"/>
      <c r="D17" s="22"/>
      <c r="E17" s="22"/>
      <c r="F17" s="58"/>
      <c r="G17" s="58"/>
      <c r="H17" s="58"/>
      <c r="I17" s="58"/>
      <c r="J17" s="22"/>
      <c r="K17" s="58"/>
    </row>
    <row r="18" spans="1:11" x14ac:dyDescent="0.25">
      <c r="A18" s="56"/>
      <c r="B18" s="58"/>
      <c r="C18" s="22"/>
      <c r="D18" s="22"/>
      <c r="E18" s="22"/>
      <c r="F18" s="58"/>
      <c r="G18" s="58"/>
      <c r="H18" s="58"/>
      <c r="I18" s="58"/>
      <c r="J18" s="22"/>
      <c r="K18" s="58"/>
    </row>
    <row r="19" spans="1:11" x14ac:dyDescent="0.25">
      <c r="A19" s="56"/>
      <c r="B19" s="58"/>
      <c r="C19" s="22"/>
      <c r="D19" s="22"/>
      <c r="E19" s="22"/>
      <c r="F19" s="58"/>
      <c r="G19" s="58"/>
      <c r="H19" s="58"/>
      <c r="I19" s="58"/>
      <c r="J19" s="22"/>
      <c r="K19" s="58"/>
    </row>
    <row r="20" spans="1:11" x14ac:dyDescent="0.25">
      <c r="A20" s="56"/>
      <c r="B20" s="58"/>
      <c r="C20" s="22"/>
      <c r="D20" s="22"/>
      <c r="E20" s="22"/>
      <c r="F20" s="58"/>
      <c r="G20" s="58"/>
      <c r="H20" s="58"/>
      <c r="I20" s="58"/>
      <c r="J20" s="22"/>
      <c r="K20" s="58"/>
    </row>
    <row r="21" spans="1:11" x14ac:dyDescent="0.25">
      <c r="A21" s="56"/>
      <c r="B21" s="58"/>
      <c r="C21" s="22"/>
      <c r="D21" s="22"/>
      <c r="E21" s="22"/>
      <c r="F21" s="58"/>
      <c r="G21" s="58"/>
      <c r="H21" s="58"/>
      <c r="I21" s="58"/>
      <c r="J21" s="22"/>
      <c r="K21" s="58"/>
    </row>
    <row r="22" spans="1:11" x14ac:dyDescent="0.25">
      <c r="A22" s="56"/>
      <c r="B22" s="58"/>
      <c r="C22" s="22"/>
      <c r="D22" s="22"/>
      <c r="E22" s="22"/>
      <c r="F22" s="58"/>
      <c r="G22" s="58"/>
      <c r="H22" s="58"/>
      <c r="I22" s="58"/>
      <c r="J22" s="22"/>
      <c r="K22" s="58"/>
    </row>
    <row r="23" spans="1:11" x14ac:dyDescent="0.25">
      <c r="A23" s="56"/>
      <c r="B23" s="58"/>
      <c r="C23" s="22"/>
      <c r="D23" s="22"/>
      <c r="E23" s="22"/>
      <c r="F23" s="58"/>
      <c r="G23" s="58"/>
      <c r="H23" s="58"/>
      <c r="I23" s="58"/>
      <c r="J23" s="22"/>
      <c r="K23" s="58"/>
    </row>
    <row r="24" spans="1:11" x14ac:dyDescent="0.25">
      <c r="A24" s="56"/>
      <c r="B24" s="58"/>
      <c r="C24" s="22"/>
      <c r="D24" s="22"/>
      <c r="E24" s="22"/>
      <c r="F24" s="58"/>
      <c r="G24" s="58"/>
      <c r="H24" s="58"/>
      <c r="I24" s="58"/>
      <c r="J24" s="22"/>
      <c r="K24" s="58"/>
    </row>
    <row r="25" spans="1:11" x14ac:dyDescent="0.25">
      <c r="A25" s="56"/>
      <c r="B25" s="58"/>
      <c r="C25" s="22"/>
      <c r="D25" s="22"/>
      <c r="E25" s="22"/>
      <c r="F25" s="58"/>
      <c r="G25" s="58"/>
      <c r="H25" s="58"/>
      <c r="I25" s="58"/>
      <c r="J25" s="22"/>
      <c r="K25" s="58"/>
    </row>
    <row r="26" spans="1:11" x14ac:dyDescent="0.25">
      <c r="A26" s="56"/>
      <c r="B26" s="58"/>
      <c r="C26" s="22"/>
      <c r="D26" s="22"/>
      <c r="E26" s="22"/>
      <c r="F26" s="58"/>
      <c r="G26" s="58"/>
      <c r="H26" s="58"/>
      <c r="I26" s="58"/>
      <c r="J26" s="22"/>
      <c r="K26" s="58"/>
    </row>
    <row r="27" spans="1:11" x14ac:dyDescent="0.25">
      <c r="A27" s="56"/>
      <c r="B27" s="58"/>
      <c r="C27" s="22"/>
      <c r="D27" s="22"/>
      <c r="E27" s="22"/>
      <c r="F27" s="58"/>
      <c r="G27" s="58"/>
      <c r="H27" s="58"/>
      <c r="I27" s="58"/>
      <c r="J27" s="22"/>
      <c r="K27" s="58"/>
    </row>
    <row r="28" spans="1:11" x14ac:dyDescent="0.25">
      <c r="A28" s="56"/>
      <c r="B28" s="58"/>
      <c r="C28" s="22"/>
      <c r="D28" s="22"/>
      <c r="E28" s="22"/>
      <c r="F28" s="58"/>
      <c r="G28" s="58"/>
      <c r="H28" s="58"/>
      <c r="I28" s="58"/>
      <c r="J28" s="22"/>
      <c r="K28" s="58"/>
    </row>
    <row r="29" spans="1:11" x14ac:dyDescent="0.25">
      <c r="A29" s="56"/>
      <c r="B29" s="58"/>
      <c r="C29" s="22"/>
      <c r="D29" s="22"/>
      <c r="E29" s="22"/>
      <c r="F29" s="58"/>
      <c r="G29" s="58"/>
      <c r="H29" s="58"/>
      <c r="I29" s="58"/>
      <c r="J29" s="22"/>
      <c r="K29" s="58"/>
    </row>
    <row r="30" spans="1:11" x14ac:dyDescent="0.25">
      <c r="A30" s="56"/>
      <c r="B30" s="58"/>
      <c r="C30" s="22"/>
      <c r="D30" s="22"/>
      <c r="E30" s="22"/>
      <c r="F30" s="58"/>
      <c r="G30" s="58"/>
      <c r="H30" s="58"/>
      <c r="I30" s="58"/>
      <c r="J30" s="22"/>
      <c r="K30" s="58"/>
    </row>
    <row r="31" spans="1:11" x14ac:dyDescent="0.25">
      <c r="A31" s="56"/>
      <c r="B31" s="58"/>
      <c r="C31" s="22"/>
      <c r="D31" s="22"/>
      <c r="E31" s="22"/>
      <c r="F31" s="58"/>
      <c r="G31" s="58"/>
      <c r="H31" s="58"/>
      <c r="I31" s="58"/>
      <c r="J31" s="22"/>
      <c r="K31" s="58"/>
    </row>
    <row r="32" spans="1:11" x14ac:dyDescent="0.25">
      <c r="A32" s="56"/>
      <c r="B32" s="58"/>
      <c r="C32" s="22"/>
      <c r="D32" s="22"/>
      <c r="E32" s="22"/>
      <c r="F32" s="58"/>
      <c r="G32" s="58"/>
      <c r="H32" s="58"/>
      <c r="I32" s="58"/>
      <c r="J32" s="22"/>
      <c r="K32" s="58"/>
    </row>
    <row r="33" spans="1:11" x14ac:dyDescent="0.25">
      <c r="A33" s="56"/>
      <c r="B33" s="58"/>
      <c r="C33" s="22"/>
      <c r="D33" s="22"/>
      <c r="E33" s="22"/>
      <c r="F33" s="58"/>
      <c r="G33" s="58"/>
      <c r="H33" s="58"/>
      <c r="I33" s="58"/>
      <c r="J33" s="22"/>
      <c r="K33" s="58"/>
    </row>
    <row r="34" spans="1:11" x14ac:dyDescent="0.25">
      <c r="A34" s="56"/>
      <c r="B34" s="58"/>
      <c r="C34" s="22"/>
      <c r="D34" s="22"/>
      <c r="E34" s="22"/>
      <c r="F34" s="58"/>
      <c r="G34" s="58"/>
      <c r="H34" s="58"/>
      <c r="I34" s="58"/>
      <c r="J34" s="22"/>
      <c r="K34" s="58"/>
    </row>
    <row r="35" spans="1:11" x14ac:dyDescent="0.25">
      <c r="A35" s="56"/>
      <c r="B35" s="58"/>
      <c r="C35" s="22"/>
      <c r="D35" s="22"/>
      <c r="E35" s="22"/>
      <c r="F35" s="58"/>
      <c r="G35" s="58"/>
      <c r="H35" s="58"/>
      <c r="I35" s="58"/>
      <c r="J35" s="22"/>
      <c r="K35" s="58"/>
    </row>
    <row r="36" spans="1:11" x14ac:dyDescent="0.25">
      <c r="A36" s="56"/>
      <c r="B36" s="58"/>
      <c r="C36" s="22"/>
      <c r="D36" s="22"/>
      <c r="E36" s="22"/>
      <c r="F36" s="58"/>
      <c r="G36" s="58"/>
      <c r="H36" s="58"/>
      <c r="I36" s="58"/>
      <c r="J36" s="22"/>
      <c r="K36" s="58"/>
    </row>
    <row r="37" spans="1:11" x14ac:dyDescent="0.25">
      <c r="A37" s="56"/>
      <c r="B37" s="58"/>
      <c r="C37" s="22"/>
      <c r="D37" s="22"/>
      <c r="E37" s="22"/>
      <c r="F37" s="58"/>
      <c r="G37" s="58"/>
      <c r="H37" s="58"/>
      <c r="I37" s="58"/>
      <c r="J37" s="22"/>
      <c r="K37" s="58"/>
    </row>
    <row r="38" spans="1:11" x14ac:dyDescent="0.25">
      <c r="A38" s="56"/>
      <c r="B38" s="58"/>
      <c r="C38" s="22"/>
      <c r="D38" s="22"/>
      <c r="E38" s="22"/>
      <c r="F38" s="58"/>
      <c r="G38" s="58"/>
      <c r="H38" s="58"/>
      <c r="I38" s="58"/>
      <c r="J38" s="22"/>
      <c r="K38" s="58"/>
    </row>
    <row r="39" spans="1:11" x14ac:dyDescent="0.25">
      <c r="A39" s="56"/>
      <c r="B39" s="58"/>
      <c r="C39" s="22"/>
      <c r="D39" s="22"/>
      <c r="E39" s="22"/>
      <c r="F39" s="58"/>
      <c r="G39" s="58"/>
      <c r="H39" s="58"/>
      <c r="I39" s="58"/>
      <c r="J39" s="22"/>
      <c r="K39" s="58"/>
    </row>
    <row r="40" spans="1:11" x14ac:dyDescent="0.25">
      <c r="A40" s="56"/>
      <c r="B40" s="58"/>
      <c r="C40" s="22"/>
      <c r="D40" s="22"/>
      <c r="E40" s="22"/>
      <c r="F40" s="58"/>
      <c r="G40" s="58"/>
      <c r="H40" s="58"/>
      <c r="I40" s="58"/>
      <c r="J40" s="22"/>
      <c r="K40" s="58"/>
    </row>
    <row r="41" spans="1:11" x14ac:dyDescent="0.25">
      <c r="A41" s="56"/>
      <c r="B41" s="58"/>
      <c r="C41" s="22"/>
      <c r="D41" s="22"/>
      <c r="E41" s="22"/>
      <c r="F41" s="58"/>
      <c r="G41" s="58"/>
      <c r="H41" s="58"/>
      <c r="I41" s="58"/>
      <c r="J41" s="22"/>
      <c r="K41" s="58"/>
    </row>
    <row r="42" spans="1:11" x14ac:dyDescent="0.25">
      <c r="A42" s="56"/>
      <c r="B42" s="58"/>
      <c r="C42" s="22"/>
      <c r="D42" s="22"/>
      <c r="E42" s="22"/>
      <c r="F42" s="58"/>
      <c r="G42" s="58"/>
      <c r="H42" s="58"/>
      <c r="I42" s="58"/>
      <c r="J42" s="22"/>
      <c r="K42" s="58"/>
    </row>
    <row r="43" spans="1:11" x14ac:dyDescent="0.25">
      <c r="A43" s="56"/>
      <c r="B43" s="58"/>
      <c r="C43" s="22"/>
      <c r="D43" s="22"/>
      <c r="E43" s="22"/>
      <c r="F43" s="58"/>
      <c r="G43" s="58"/>
      <c r="H43" s="58"/>
      <c r="I43" s="58"/>
      <c r="J43" s="22"/>
      <c r="K43" s="58"/>
    </row>
    <row r="44" spans="1:11" x14ac:dyDescent="0.25">
      <c r="A44" s="56"/>
      <c r="B44" s="58"/>
      <c r="C44" s="22"/>
      <c r="D44" s="22"/>
      <c r="E44" s="22"/>
      <c r="F44" s="58"/>
      <c r="G44" s="58"/>
      <c r="H44" s="58"/>
      <c r="I44" s="58"/>
      <c r="J44" s="22"/>
      <c r="K44" s="58"/>
    </row>
    <row r="45" spans="1:11" x14ac:dyDescent="0.25">
      <c r="A45" s="56"/>
      <c r="B45" s="58"/>
      <c r="C45" s="22"/>
      <c r="D45" s="22"/>
      <c r="E45" s="22"/>
      <c r="F45" s="58"/>
      <c r="G45" s="58"/>
      <c r="H45" s="58"/>
      <c r="I45" s="58"/>
      <c r="J45" s="22"/>
      <c r="K45" s="58"/>
    </row>
    <row r="46" spans="1:11" x14ac:dyDescent="0.25">
      <c r="A46" s="56"/>
      <c r="B46" s="58"/>
      <c r="C46" s="22"/>
      <c r="D46" s="22"/>
      <c r="E46" s="22"/>
      <c r="F46" s="58"/>
      <c r="G46" s="58"/>
      <c r="H46" s="58"/>
      <c r="I46" s="58"/>
      <c r="J46" s="22"/>
      <c r="K46" s="58"/>
    </row>
    <row r="47" spans="1:11" x14ac:dyDescent="0.25">
      <c r="A47" s="56"/>
      <c r="B47" s="58"/>
      <c r="C47" s="22"/>
      <c r="D47" s="22"/>
      <c r="E47" s="22"/>
      <c r="F47" s="58"/>
      <c r="G47" s="58"/>
      <c r="H47" s="58"/>
      <c r="I47" s="58"/>
      <c r="J47" s="22"/>
      <c r="K47" s="58"/>
    </row>
    <row r="48" spans="1:11" x14ac:dyDescent="0.25">
      <c r="A48" s="56"/>
      <c r="B48" s="58"/>
      <c r="C48" s="22"/>
      <c r="D48" s="22"/>
      <c r="E48" s="22"/>
      <c r="F48" s="58"/>
      <c r="G48" s="58"/>
      <c r="H48" s="58"/>
      <c r="I48" s="58"/>
      <c r="J48" s="22"/>
      <c r="K48" s="58"/>
    </row>
    <row r="49" spans="1:11" x14ac:dyDescent="0.25">
      <c r="A49" s="56"/>
      <c r="B49" s="58"/>
      <c r="C49" s="22"/>
      <c r="D49" s="22"/>
      <c r="E49" s="22"/>
      <c r="F49" s="58"/>
      <c r="G49" s="58"/>
      <c r="H49" s="58"/>
      <c r="I49" s="58"/>
      <c r="J49" s="22"/>
      <c r="K49" s="58"/>
    </row>
    <row r="50" spans="1:11" x14ac:dyDescent="0.25">
      <c r="A50" s="56"/>
      <c r="B50" s="58"/>
      <c r="C50" s="22"/>
      <c r="D50" s="22"/>
      <c r="E50" s="22"/>
      <c r="F50" s="58"/>
      <c r="G50" s="58"/>
      <c r="H50" s="58"/>
      <c r="I50" s="58"/>
      <c r="J50" s="22"/>
      <c r="K50" s="58"/>
    </row>
    <row r="51" spans="1:11" x14ac:dyDescent="0.25">
      <c r="A51" s="56"/>
      <c r="B51" s="58"/>
      <c r="C51" s="22"/>
      <c r="D51" s="22"/>
      <c r="E51" s="22"/>
      <c r="F51" s="58"/>
      <c r="G51" s="58"/>
      <c r="H51" s="58"/>
      <c r="I51" s="58"/>
      <c r="J51" s="22"/>
      <c r="K51" s="58"/>
    </row>
    <row r="52" spans="1:11" x14ac:dyDescent="0.25">
      <c r="A52" s="56"/>
      <c r="B52" s="58"/>
      <c r="C52" s="22"/>
      <c r="D52" s="22"/>
      <c r="E52" s="22"/>
      <c r="F52" s="58"/>
      <c r="G52" s="58"/>
      <c r="H52" s="58"/>
      <c r="I52" s="58"/>
      <c r="J52" s="22"/>
      <c r="K52" s="58"/>
    </row>
    <row r="53" spans="1:11" x14ac:dyDescent="0.25">
      <c r="A53" s="56"/>
      <c r="B53" s="58"/>
      <c r="C53" s="22"/>
      <c r="D53" s="22"/>
      <c r="E53" s="22"/>
      <c r="F53" s="58"/>
      <c r="G53" s="58"/>
      <c r="H53" s="58"/>
      <c r="I53" s="58"/>
      <c r="J53" s="22"/>
      <c r="K53" s="58"/>
    </row>
    <row r="54" spans="1:11" x14ac:dyDescent="0.25">
      <c r="A54" s="56"/>
      <c r="B54" s="58"/>
      <c r="C54" s="22"/>
      <c r="D54" s="22"/>
      <c r="E54" s="22"/>
      <c r="F54" s="58"/>
      <c r="G54" s="58"/>
      <c r="H54" s="58"/>
      <c r="I54" s="58"/>
      <c r="J54" s="22"/>
      <c r="K54" s="58"/>
    </row>
    <row r="55" spans="1:11" x14ac:dyDescent="0.25">
      <c r="A55" s="56"/>
      <c r="B55" s="58"/>
      <c r="C55" s="22"/>
      <c r="D55" s="22"/>
      <c r="E55" s="22"/>
      <c r="F55" s="58"/>
      <c r="G55" s="58"/>
      <c r="H55" s="58"/>
      <c r="I55" s="58"/>
      <c r="J55" s="22"/>
      <c r="K55" s="58"/>
    </row>
  </sheetData>
  <conditionalFormatting sqref="C5:C55">
    <cfRule type="expression" dxfId="21" priority="2">
      <formula>ISNUMBER(SEARCH("LONG",C5))</formula>
    </cfRule>
    <cfRule type="expression" dxfId="20" priority="3">
      <formula>ISNUMBER(SEARCH("SHORT",C5))</formula>
    </cfRule>
    <cfRule type="expression" dxfId="19" priority="3" stopIfTrue="1">
      <formula>ISNUMBER(SEARCH("FLAT",C5))</formula>
    </cfRule>
  </conditionalFormatting>
  <conditionalFormatting sqref="E5:E55">
    <cfRule type="expression" dxfId="18" priority="4" stopIfTrue="1">
      <formula>ISNUMBER(SEARCH("RISK-ON",E5))</formula>
    </cfRule>
    <cfRule type="expression" dxfId="17" priority="5" stopIfTrue="1">
      <formula>ISNUMBER(SEARCH("RISK-OFF",E5))</formula>
    </cfRule>
    <cfRule type="expression" dxfId="16" priority="6" stopIfTrue="1">
      <formula>ISNUMBER(SEARCH("CAUTION",E5))</formula>
    </cfRule>
  </conditionalFormatting>
  <conditionalFormatting sqref="J5:J55">
    <cfRule type="expression" dxfId="15" priority="7" stopIfTrue="1">
      <formula>ISNUMBER(SEARCH("Yes",J5))</formula>
    </cfRule>
    <cfRule type="expression" dxfId="14" priority="8" stopIfTrue="1">
      <formula>ISNUMBER(SEARCH("Partly",J5))</formula>
    </cfRule>
    <cfRule type="expression" dxfId="13" priority="9" stopIfTrue="1">
      <formula>ISNUMBER(SEARCH("No",J5))</formula>
    </cfRule>
  </conditionalFormatting>
  <dataValidations count="4">
    <dataValidation type="list" sqref="C5:C55" xr:uid="{00000000-0002-0000-0600-000000000000}">
      <formula1>"LONG,SHORT,FLAT"</formula1>
      <formula2>0</formula2>
    </dataValidation>
    <dataValidation type="list" sqref="E5:E55" xr:uid="{00000000-0002-0000-0600-000001000000}">
      <formula1>"RISK-ON,CAUTION,RISK-OFF"</formula1>
      <formula2>0</formula2>
    </dataValidation>
    <dataValidation type="list" sqref="J5:J55" xr:uid="{00000000-0002-0000-0600-000002000000}">
      <formula1>"Yes,No,Partly"</formula1>
      <formula2>0</formula2>
    </dataValidation>
    <dataValidation type="list" sqref="B5:B55" xr:uid="{00000000-0002-0000-0600-000003000000}">
      <formula1>"EURUSD,GBPUSD,USDJPY,XAUUSD"</formula1>
      <formula2>0</formula2>
    </dataValidation>
  </dataValidations>
  <hyperlinks>
    <hyperlink ref="K1" location="'Start Here'!A1" display="← Start Here" xr:uid="{00000000-0004-0000-0600-000000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  <pageSetUpPr fitToPage="1"/>
  </sheetPr>
  <dimension ref="A1:H38"/>
  <sheetViews>
    <sheetView showGridLines="0" tabSelected="1" zoomScaleNormal="100" workbookViewId="0">
      <pane ySplit="2" topLeftCell="A3" activePane="bottomLeft" state="frozen"/>
      <selection pane="bottomLeft" activeCell="N8" sqref="N8"/>
    </sheetView>
  </sheetViews>
  <sheetFormatPr defaultColWidth="8.7109375" defaultRowHeight="15" x14ac:dyDescent="0.25"/>
  <cols>
    <col min="1" max="1" width="30" customWidth="1"/>
    <col min="2" max="2" width="52" customWidth="1"/>
    <col min="3" max="3" width="44" customWidth="1"/>
    <col min="4" max="4" width="21" customWidth="1"/>
    <col min="5" max="5" width="16" customWidth="1"/>
    <col min="6" max="6" width="24" customWidth="1"/>
    <col min="7" max="7" width="18" customWidth="1"/>
    <col min="8" max="8" width="14" customWidth="1"/>
    <col min="9" max="9" width="4" customWidth="1"/>
  </cols>
  <sheetData>
    <row r="1" spans="1:8" ht="33.950000000000003" customHeight="1" x14ac:dyDescent="0.25">
      <c r="A1" s="2" t="s">
        <v>350</v>
      </c>
      <c r="B1" s="3"/>
      <c r="C1" s="3"/>
      <c r="D1" s="3"/>
      <c r="E1" s="3"/>
      <c r="F1" s="3"/>
      <c r="G1" s="3"/>
      <c r="H1" s="47" t="s">
        <v>152</v>
      </c>
    </row>
    <row r="2" spans="1:8" ht="20.100000000000001" customHeight="1" x14ac:dyDescent="0.25">
      <c r="A2" s="4" t="s">
        <v>351</v>
      </c>
      <c r="H2" s="7"/>
    </row>
    <row r="3" spans="1:8" ht="8.1" customHeight="1" x14ac:dyDescent="0.25">
      <c r="A3" s="7"/>
      <c r="B3" s="7"/>
      <c r="C3" s="7"/>
      <c r="D3" s="7"/>
      <c r="E3" s="7"/>
      <c r="F3" s="7"/>
      <c r="G3" s="7"/>
      <c r="H3" s="7"/>
    </row>
    <row r="4" spans="1:8" ht="24" customHeight="1" x14ac:dyDescent="0.25">
      <c r="A4" s="5" t="s">
        <v>352</v>
      </c>
      <c r="B4" s="6"/>
      <c r="C4" s="6"/>
      <c r="D4" s="6"/>
      <c r="E4" s="6"/>
      <c r="F4" s="6"/>
      <c r="G4" s="6"/>
      <c r="H4" s="6"/>
    </row>
    <row r="5" spans="1:8" ht="18.600000000000001" customHeight="1" x14ac:dyDescent="0.25">
      <c r="A5" s="8" t="s">
        <v>231</v>
      </c>
      <c r="B5" s="48" t="s">
        <v>353</v>
      </c>
      <c r="C5" s="48" t="s">
        <v>354</v>
      </c>
      <c r="D5" s="48" t="s">
        <v>355</v>
      </c>
      <c r="E5" s="48" t="s">
        <v>169</v>
      </c>
      <c r="F5" s="48" t="s">
        <v>232</v>
      </c>
      <c r="G5" s="48" t="s">
        <v>356</v>
      </c>
      <c r="H5" s="48" t="s">
        <v>357</v>
      </c>
    </row>
    <row r="6" spans="1:8" ht="18.600000000000001" customHeight="1" x14ac:dyDescent="0.25">
      <c r="A6" s="100" t="s">
        <v>173</v>
      </c>
      <c r="B6" s="58"/>
      <c r="C6" s="58"/>
      <c r="D6" s="106"/>
      <c r="E6" s="55" t="str">
        <f t="shared" ref="E6:E13" ca="1" si="0">IF(D6="","NOT CHECKED",IF(TODAY()-D6&gt;14,"STALE","OK"))</f>
        <v>NOT CHECKED</v>
      </c>
      <c r="F6" s="107" t="s">
        <v>55</v>
      </c>
      <c r="G6" s="107" t="s">
        <v>358</v>
      </c>
      <c r="H6" s="107" t="s">
        <v>359</v>
      </c>
    </row>
    <row r="7" spans="1:8" ht="18.600000000000001" customHeight="1" x14ac:dyDescent="0.25">
      <c r="A7" s="100" t="s">
        <v>172</v>
      </c>
      <c r="B7" s="58"/>
      <c r="C7" s="58"/>
      <c r="D7" s="106"/>
      <c r="E7" s="55" t="str">
        <f t="shared" ca="1" si="0"/>
        <v>NOT CHECKED</v>
      </c>
      <c r="F7" s="107" t="s">
        <v>360</v>
      </c>
      <c r="G7" s="107" t="s">
        <v>358</v>
      </c>
      <c r="H7" s="107" t="s">
        <v>359</v>
      </c>
    </row>
    <row r="8" spans="1:8" ht="18.600000000000001" customHeight="1" x14ac:dyDescent="0.25">
      <c r="A8" s="100" t="s">
        <v>176</v>
      </c>
      <c r="B8" s="58"/>
      <c r="C8" s="58"/>
      <c r="D8" s="106"/>
      <c r="E8" s="55" t="str">
        <f t="shared" ca="1" si="0"/>
        <v>NOT CHECKED</v>
      </c>
      <c r="F8" s="107" t="s">
        <v>361</v>
      </c>
      <c r="G8" s="107" t="s">
        <v>358</v>
      </c>
      <c r="H8" s="107" t="s">
        <v>359</v>
      </c>
    </row>
    <row r="9" spans="1:8" ht="31.15" customHeight="1" x14ac:dyDescent="0.25">
      <c r="A9" s="100" t="s">
        <v>178</v>
      </c>
      <c r="B9" s="58" t="s">
        <v>362</v>
      </c>
      <c r="C9" s="58" t="s">
        <v>363</v>
      </c>
      <c r="D9" s="106">
        <v>46286</v>
      </c>
      <c r="E9" s="55" t="str">
        <f t="shared" ca="1" si="0"/>
        <v>OK</v>
      </c>
      <c r="F9" s="107" t="s">
        <v>364</v>
      </c>
      <c r="G9" s="107" t="s">
        <v>358</v>
      </c>
      <c r="H9" s="107" t="s">
        <v>359</v>
      </c>
    </row>
    <row r="10" spans="1:8" ht="18.600000000000001" customHeight="1" x14ac:dyDescent="0.25">
      <c r="A10" s="100" t="s">
        <v>252</v>
      </c>
      <c r="B10" s="58"/>
      <c r="C10" s="58"/>
      <c r="D10" s="106"/>
      <c r="E10" s="55" t="str">
        <f t="shared" ca="1" si="0"/>
        <v>NOT CHECKED</v>
      </c>
      <c r="F10" s="107" t="s">
        <v>365</v>
      </c>
      <c r="G10" s="107" t="s">
        <v>358</v>
      </c>
      <c r="H10" s="107" t="s">
        <v>359</v>
      </c>
    </row>
    <row r="11" spans="1:8" ht="18.600000000000001" customHeight="1" x14ac:dyDescent="0.25">
      <c r="A11" s="100" t="s">
        <v>254</v>
      </c>
      <c r="B11" s="58"/>
      <c r="C11" s="58"/>
      <c r="D11" s="106"/>
      <c r="E11" s="55" t="str">
        <f t="shared" ca="1" si="0"/>
        <v>NOT CHECKED</v>
      </c>
      <c r="F11" s="107" t="s">
        <v>366</v>
      </c>
      <c r="G11" s="107" t="s">
        <v>358</v>
      </c>
      <c r="H11" s="107" t="s">
        <v>359</v>
      </c>
    </row>
    <row r="12" spans="1:8" ht="18.600000000000001" customHeight="1" x14ac:dyDescent="0.25">
      <c r="A12" s="100" t="s">
        <v>256</v>
      </c>
      <c r="B12" s="58"/>
      <c r="C12" s="58"/>
      <c r="D12" s="106"/>
      <c r="E12" s="55" t="str">
        <f t="shared" ca="1" si="0"/>
        <v>NOT CHECKED</v>
      </c>
      <c r="F12" s="107" t="s">
        <v>367</v>
      </c>
      <c r="G12" s="107" t="s">
        <v>358</v>
      </c>
      <c r="H12" s="107" t="s">
        <v>359</v>
      </c>
    </row>
    <row r="13" spans="1:8" ht="18.600000000000001" customHeight="1" x14ac:dyDescent="0.25">
      <c r="A13" s="100" t="s">
        <v>258</v>
      </c>
      <c r="B13" s="58"/>
      <c r="C13" s="58"/>
      <c r="D13" s="106"/>
      <c r="E13" s="55" t="str">
        <f t="shared" ca="1" si="0"/>
        <v>NOT CHECKED</v>
      </c>
      <c r="F13" s="107" t="s">
        <v>368</v>
      </c>
      <c r="G13" s="107" t="s">
        <v>358</v>
      </c>
      <c r="H13" s="107" t="s">
        <v>359</v>
      </c>
    </row>
    <row r="14" spans="1:8" ht="18" customHeight="1" x14ac:dyDescent="0.25">
      <c r="A14" s="78" t="s">
        <v>369</v>
      </c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ht="24" customHeight="1" x14ac:dyDescent="0.25">
      <c r="A16" s="5" t="s">
        <v>370</v>
      </c>
      <c r="B16" s="6"/>
      <c r="C16" s="6"/>
      <c r="D16" s="6"/>
      <c r="E16" s="6"/>
      <c r="F16" s="6"/>
    </row>
    <row r="17" spans="1:8" ht="18.600000000000001" customHeight="1" x14ac:dyDescent="0.25">
      <c r="A17" s="8" t="s">
        <v>371</v>
      </c>
      <c r="B17" s="48" t="s">
        <v>372</v>
      </c>
      <c r="C17" s="48" t="s">
        <v>373</v>
      </c>
      <c r="D17" s="48" t="s">
        <v>355</v>
      </c>
      <c r="E17" s="48" t="s">
        <v>374</v>
      </c>
      <c r="F17" s="48" t="s">
        <v>307</v>
      </c>
      <c r="G17" s="108"/>
      <c r="H17" s="108"/>
    </row>
    <row r="18" spans="1:8" ht="31.15" customHeight="1" x14ac:dyDescent="0.25">
      <c r="A18" s="76" t="s">
        <v>375</v>
      </c>
      <c r="B18" s="109" t="s">
        <v>376</v>
      </c>
      <c r="C18" s="58"/>
      <c r="D18" s="56"/>
      <c r="E18" s="110" t="s">
        <v>377</v>
      </c>
      <c r="F18" s="107" t="s">
        <v>378</v>
      </c>
      <c r="G18" s="7"/>
      <c r="H18" s="7"/>
    </row>
    <row r="19" spans="1:8" ht="31.15" customHeight="1" x14ac:dyDescent="0.25">
      <c r="A19" s="76" t="s">
        <v>379</v>
      </c>
      <c r="B19" s="109" t="s">
        <v>380</v>
      </c>
      <c r="C19" s="58"/>
      <c r="D19" s="56"/>
      <c r="E19" s="110" t="s">
        <v>377</v>
      </c>
      <c r="F19" s="107" t="s">
        <v>381</v>
      </c>
      <c r="G19" s="7"/>
      <c r="H19" s="7"/>
    </row>
    <row r="20" spans="1:8" ht="31.15" customHeight="1" x14ac:dyDescent="0.25">
      <c r="A20" s="76" t="s">
        <v>382</v>
      </c>
      <c r="B20" s="109" t="s">
        <v>383</v>
      </c>
      <c r="C20" s="58"/>
      <c r="D20" s="56"/>
      <c r="E20" s="110" t="s">
        <v>384</v>
      </c>
      <c r="F20" s="107" t="s">
        <v>385</v>
      </c>
      <c r="G20" s="7"/>
      <c r="H20" s="7"/>
    </row>
    <row r="21" spans="1:8" ht="28.7" customHeight="1" x14ac:dyDescent="0.25">
      <c r="A21" s="76" t="s">
        <v>386</v>
      </c>
      <c r="B21" s="109" t="s">
        <v>387</v>
      </c>
      <c r="C21" s="58"/>
      <c r="D21" s="56"/>
      <c r="E21" s="110" t="s">
        <v>377</v>
      </c>
      <c r="F21" s="107" t="s">
        <v>388</v>
      </c>
      <c r="G21" s="7"/>
      <c r="H21" s="7"/>
    </row>
    <row r="22" spans="1:8" ht="31.15" customHeight="1" x14ac:dyDescent="0.25">
      <c r="A22" s="76" t="s">
        <v>389</v>
      </c>
      <c r="B22" s="109" t="s">
        <v>390</v>
      </c>
      <c r="C22" s="58"/>
      <c r="D22" s="56"/>
      <c r="E22" s="110" t="s">
        <v>391</v>
      </c>
      <c r="F22" s="107" t="s">
        <v>392</v>
      </c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ht="24" customHeight="1" x14ac:dyDescent="0.25">
      <c r="A24" s="5" t="s">
        <v>393</v>
      </c>
      <c r="B24" s="6"/>
      <c r="C24" s="6"/>
      <c r="D24" s="6"/>
    </row>
    <row r="25" spans="1:8" ht="18.600000000000001" customHeight="1" x14ac:dyDescent="0.25">
      <c r="A25" s="8" t="s">
        <v>394</v>
      </c>
      <c r="B25" s="48" t="s">
        <v>395</v>
      </c>
      <c r="C25" s="48" t="s">
        <v>396</v>
      </c>
      <c r="D25" s="48" t="s">
        <v>397</v>
      </c>
      <c r="E25" s="108"/>
      <c r="F25" s="108"/>
      <c r="G25" s="108"/>
      <c r="H25" s="108"/>
    </row>
    <row r="26" spans="1:8" ht="18.600000000000001" customHeight="1" x14ac:dyDescent="0.25">
      <c r="A26" s="76" t="s">
        <v>398</v>
      </c>
      <c r="B26" s="109" t="s">
        <v>399</v>
      </c>
      <c r="C26" s="22" t="s">
        <v>346</v>
      </c>
      <c r="D26" s="107" t="s">
        <v>400</v>
      </c>
      <c r="E26" s="111"/>
      <c r="F26" s="112"/>
      <c r="G26" s="111"/>
      <c r="H26" s="111"/>
    </row>
    <row r="27" spans="1:8" ht="28.7" customHeight="1" x14ac:dyDescent="0.25">
      <c r="A27" s="76" t="s">
        <v>401</v>
      </c>
      <c r="B27" s="109" t="s">
        <v>402</v>
      </c>
      <c r="C27" s="22" t="s">
        <v>403</v>
      </c>
      <c r="D27" s="107" t="s">
        <v>400</v>
      </c>
      <c r="E27" s="111"/>
      <c r="F27" s="112"/>
      <c r="G27" s="111"/>
      <c r="H27" s="111"/>
    </row>
    <row r="28" spans="1:8" ht="18.600000000000001" customHeight="1" x14ac:dyDescent="0.25">
      <c r="A28" s="76" t="s">
        <v>404</v>
      </c>
      <c r="B28" s="109" t="s">
        <v>405</v>
      </c>
      <c r="C28" s="22" t="s">
        <v>346</v>
      </c>
      <c r="D28" s="107" t="s">
        <v>406</v>
      </c>
      <c r="E28" s="111"/>
      <c r="F28" s="112"/>
      <c r="G28" s="111"/>
      <c r="H28" s="111"/>
    </row>
    <row r="29" spans="1:8" ht="28.7" customHeight="1" x14ac:dyDescent="0.25">
      <c r="A29" s="76" t="s">
        <v>407</v>
      </c>
      <c r="B29" s="109" t="s">
        <v>408</v>
      </c>
      <c r="C29" s="22" t="s">
        <v>403</v>
      </c>
      <c r="D29" s="107" t="s">
        <v>400</v>
      </c>
      <c r="E29" s="111"/>
      <c r="F29" s="112"/>
      <c r="G29" s="111"/>
      <c r="H29" s="111"/>
    </row>
    <row r="30" spans="1:8" ht="28.7" customHeight="1" x14ac:dyDescent="0.25">
      <c r="A30" s="76" t="s">
        <v>409</v>
      </c>
      <c r="B30" s="109" t="s">
        <v>410</v>
      </c>
      <c r="C30" s="22" t="s">
        <v>411</v>
      </c>
      <c r="D30" s="107" t="s">
        <v>412</v>
      </c>
      <c r="E30" s="111"/>
      <c r="F30" s="112"/>
      <c r="G30" s="111"/>
      <c r="H30" s="111"/>
    </row>
    <row r="31" spans="1:8" ht="18.600000000000001" customHeight="1" x14ac:dyDescent="0.25">
      <c r="A31" s="76" t="s">
        <v>413</v>
      </c>
      <c r="B31" s="109" t="s">
        <v>414</v>
      </c>
      <c r="C31" s="22" t="s">
        <v>403</v>
      </c>
      <c r="D31" s="107" t="s">
        <v>415</v>
      </c>
      <c r="E31" s="111"/>
      <c r="F31" s="112"/>
      <c r="G31" s="111"/>
      <c r="H31" s="111"/>
    </row>
    <row r="32" spans="1:8" x14ac:dyDescent="0.25">
      <c r="A32" s="7"/>
      <c r="B32" s="7"/>
      <c r="C32" s="7"/>
      <c r="D32" s="7"/>
      <c r="E32" s="7"/>
      <c r="F32" s="7"/>
      <c r="G32" s="7"/>
      <c r="H32" s="7"/>
    </row>
    <row r="33" spans="1:8" ht="18.600000000000001" customHeight="1" x14ac:dyDescent="0.25">
      <c r="A33" s="62" t="s">
        <v>416</v>
      </c>
      <c r="B33" s="113" t="str">
        <f>COUNTIF(C26:C31,"RISK-ON")&amp;" risk-on · "&amp;COUNTIF(C26:C31,"RISK-OFF")&amp;" risk-off · "&amp;COUNTIF(C26:C31,"NEUTRAL")&amp;" neutral"</f>
        <v>2 risk-on · 1 risk-off · 3 neutral</v>
      </c>
      <c r="C33" s="55" t="str">
        <f>IF(COUNTA(C26:C31)&lt;6,"ENTER READS",IF(COUNTIF(C26:C31,"RISK-ON")-COUNTIF(C26:C31,"RISK-OFF")&gt;=2,"RISK-ON",IF(COUNTIF(C26:C31,"RISK-OFF")-COUNTIF(C26:C31,"RISK-ON")&gt;=2,"RISK-OFF","MIXED")))</f>
        <v>MIXED</v>
      </c>
      <c r="D33" s="7"/>
      <c r="E33" s="7"/>
      <c r="F33" s="7"/>
      <c r="G33" s="7"/>
      <c r="H33" s="7"/>
    </row>
    <row r="34" spans="1:8" ht="18.600000000000001" customHeight="1" x14ac:dyDescent="0.25">
      <c r="A34" s="62" t="s">
        <v>417</v>
      </c>
      <c r="B34" s="114"/>
      <c r="C34" s="51" t="str">
        <f>'Risk &amp; Gold'!B8</f>
        <v>RISK-ON</v>
      </c>
      <c r="D34" s="7"/>
      <c r="E34" s="7"/>
      <c r="F34" s="7"/>
      <c r="G34" s="7"/>
      <c r="H34" s="7"/>
    </row>
    <row r="35" spans="1:8" ht="18.600000000000001" customHeight="1" x14ac:dyDescent="0.25">
      <c r="A35" s="62" t="s">
        <v>418</v>
      </c>
      <c r="B35" s="114"/>
      <c r="C35" s="55" t="str">
        <f>IF(OR(C33="MIXED",C34="CAUTION"),"PARTLY — size down",IF(C33=C34,"YES","NO — trust neither, size down"))</f>
        <v>PARTLY — size down</v>
      </c>
      <c r="D35" s="7"/>
      <c r="E35" s="7"/>
      <c r="F35" s="7"/>
      <c r="G35" s="7"/>
      <c r="H35" s="7"/>
    </row>
    <row r="36" spans="1:8" x14ac:dyDescent="0.25">
      <c r="A36" s="7"/>
      <c r="B36" s="7"/>
      <c r="C36" s="7"/>
      <c r="D36" s="7"/>
      <c r="E36" s="7"/>
      <c r="F36" s="7"/>
      <c r="G36" s="7"/>
      <c r="H36" s="7"/>
    </row>
    <row r="37" spans="1:8" ht="24" customHeight="1" x14ac:dyDescent="0.25">
      <c r="A37" s="5" t="s">
        <v>419</v>
      </c>
      <c r="B37" s="6"/>
      <c r="C37" s="6"/>
      <c r="D37" s="6"/>
      <c r="E37" s="6"/>
      <c r="F37" s="6"/>
      <c r="G37" s="6"/>
      <c r="H37" s="6"/>
    </row>
    <row r="38" spans="1:8" ht="31.15" customHeight="1" x14ac:dyDescent="0.25">
      <c r="A38" s="130" t="s">
        <v>420</v>
      </c>
      <c r="B38" s="131"/>
      <c r="C38" s="131"/>
      <c r="D38" s="131"/>
      <c r="E38" s="131"/>
      <c r="F38" s="131"/>
      <c r="G38" s="131"/>
      <c r="H38" s="132"/>
    </row>
  </sheetData>
  <mergeCells count="1">
    <mergeCell ref="A38:H38"/>
  </mergeCells>
  <conditionalFormatting sqref="C26:C31">
    <cfRule type="expression" dxfId="12" priority="5">
      <formula>ISNUMBER(SEARCH("RISK-ON",C26))</formula>
    </cfRule>
    <cfRule type="expression" dxfId="11" priority="6">
      <formula>ISNUMBER(SEARCH("RISK-OFF",C26))</formula>
    </cfRule>
    <cfRule type="expression" dxfId="10" priority="7">
      <formula>ISNUMBER(SEARCH("NEUTRAL",C26))</formula>
    </cfRule>
  </conditionalFormatting>
  <conditionalFormatting sqref="C33:C34">
    <cfRule type="expression" dxfId="9" priority="8">
      <formula>ISNUMBER(SEARCH("RISK-ON",C33))</formula>
    </cfRule>
    <cfRule type="expression" dxfId="8" priority="9">
      <formula>ISNUMBER(SEARCH("RISK-OFF",C33))</formula>
    </cfRule>
    <cfRule type="expression" dxfId="7" priority="10">
      <formula>ISNUMBER(SEARCH("MIXED",C33))</formula>
    </cfRule>
    <cfRule type="expression" dxfId="6" priority="11">
      <formula>ISNUMBER(SEARCH("CAUTION",C33))</formula>
    </cfRule>
  </conditionalFormatting>
  <conditionalFormatting sqref="C35">
    <cfRule type="expression" dxfId="5" priority="16">
      <formula>ISNUMBER(SEARCH("YES",C35))</formula>
    </cfRule>
    <cfRule type="expression" dxfId="4" priority="17">
      <formula>ISNUMBER(SEARCH("NO",C35))</formula>
    </cfRule>
    <cfRule type="expression" dxfId="3" priority="18">
      <formula>ISNUMBER(SEARCH("PARTLY",C35))</formula>
    </cfRule>
  </conditionalFormatting>
  <conditionalFormatting sqref="E6:E13">
    <cfRule type="expression" dxfId="2" priority="2">
      <formula>ISNUMBER(SEARCH("STALE",E6))</formula>
    </cfRule>
    <cfRule type="expression" dxfId="1" priority="3">
      <formula>ISNUMBER(SEARCH("NOT CHECKED",E6))</formula>
    </cfRule>
    <cfRule type="expression" dxfId="0" priority="4">
      <formula>ISNUMBER(SEARCH("OK",E6))</formula>
    </cfRule>
  </conditionalFormatting>
  <dataValidations count="1">
    <dataValidation type="list" sqref="C26:C31" xr:uid="{00000000-0002-0000-0700-000000000000}">
      <formula1>"RISK-ON,NEUTRAL,RISK-OFF"</formula1>
      <formula2>0</formula2>
    </dataValidation>
  </dataValidations>
  <hyperlinks>
    <hyperlink ref="H1" location="'Start Here'!A1" display="← Start Here" xr:uid="{00000000-0004-0000-0700-000000000000}"/>
    <hyperlink ref="F6" r:id="rId1" xr:uid="{00000000-0004-0000-0700-000001000000}"/>
    <hyperlink ref="G6" r:id="rId2" xr:uid="{00000000-0004-0000-0700-000002000000}"/>
    <hyperlink ref="H6" r:id="rId3" xr:uid="{00000000-0004-0000-0700-000003000000}"/>
    <hyperlink ref="F7" r:id="rId4" xr:uid="{00000000-0004-0000-0700-000004000000}"/>
    <hyperlink ref="G7" r:id="rId5" xr:uid="{00000000-0004-0000-0700-000005000000}"/>
    <hyperlink ref="H7" r:id="rId6" xr:uid="{00000000-0004-0000-0700-000006000000}"/>
    <hyperlink ref="F8" r:id="rId7" xr:uid="{00000000-0004-0000-0700-000007000000}"/>
    <hyperlink ref="G8" r:id="rId8" xr:uid="{00000000-0004-0000-0700-000008000000}"/>
    <hyperlink ref="H8" r:id="rId9" xr:uid="{00000000-0004-0000-0700-000009000000}"/>
    <hyperlink ref="F9" r:id="rId10" xr:uid="{00000000-0004-0000-0700-00000A000000}"/>
    <hyperlink ref="G9" r:id="rId11" xr:uid="{00000000-0004-0000-0700-00000B000000}"/>
    <hyperlink ref="H9" r:id="rId12" xr:uid="{00000000-0004-0000-0700-00000C000000}"/>
    <hyperlink ref="F10" r:id="rId13" xr:uid="{00000000-0004-0000-0700-00000D000000}"/>
    <hyperlink ref="G10" r:id="rId14" xr:uid="{00000000-0004-0000-0700-00000E000000}"/>
    <hyperlink ref="H10" r:id="rId15" xr:uid="{00000000-0004-0000-0700-00000F000000}"/>
    <hyperlink ref="F11" r:id="rId16" xr:uid="{00000000-0004-0000-0700-000010000000}"/>
    <hyperlink ref="G11" r:id="rId17" xr:uid="{00000000-0004-0000-0700-000011000000}"/>
    <hyperlink ref="H11" r:id="rId18" xr:uid="{00000000-0004-0000-0700-000012000000}"/>
    <hyperlink ref="F12" r:id="rId19" xr:uid="{00000000-0004-0000-0700-000013000000}"/>
    <hyperlink ref="G12" r:id="rId20" xr:uid="{00000000-0004-0000-0700-000014000000}"/>
    <hyperlink ref="H12" r:id="rId21" xr:uid="{00000000-0004-0000-0700-000015000000}"/>
    <hyperlink ref="F13" r:id="rId22" xr:uid="{00000000-0004-0000-0700-000016000000}"/>
    <hyperlink ref="G13" r:id="rId23" xr:uid="{00000000-0004-0000-0700-000017000000}"/>
    <hyperlink ref="H13" r:id="rId24" xr:uid="{00000000-0004-0000-0700-000018000000}"/>
    <hyperlink ref="F18" r:id="rId25" xr:uid="{00000000-0004-0000-0700-000019000000}"/>
    <hyperlink ref="F19" r:id="rId26" xr:uid="{00000000-0004-0000-0700-00001A000000}"/>
    <hyperlink ref="F20" r:id="rId27" xr:uid="{00000000-0004-0000-0700-00001B000000}"/>
    <hyperlink ref="F21" r:id="rId28" xr:uid="{00000000-0004-0000-0700-00001C000000}"/>
    <hyperlink ref="F22" r:id="rId29" xr:uid="{00000000-0004-0000-0700-00001D000000}"/>
    <hyperlink ref="D26" r:id="rId30" xr:uid="{00000000-0004-0000-0700-00001E000000}"/>
    <hyperlink ref="D27" r:id="rId31" xr:uid="{00000000-0004-0000-0700-00001F000000}"/>
    <hyperlink ref="D28" r:id="rId32" xr:uid="{00000000-0004-0000-0700-000020000000}"/>
    <hyperlink ref="D29" r:id="rId33" xr:uid="{00000000-0004-0000-0700-000021000000}"/>
    <hyperlink ref="D30" r:id="rId34" xr:uid="{00000000-0004-0000-0700-000022000000}"/>
    <hyperlink ref="D31" r:id="rId35" xr:uid="{00000000-0004-0000-0700-000023000000}"/>
  </hyperlink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Start Here</vt:lpstr>
      <vt:lpstr>Bias</vt:lpstr>
      <vt:lpstr>Compare</vt:lpstr>
      <vt:lpstr>Scorecard</vt:lpstr>
      <vt:lpstr>Risk &amp; Gold</vt:lpstr>
      <vt:lpstr>Key Levels</vt:lpstr>
      <vt:lpstr>Journal</vt:lpstr>
      <vt:lpstr>Hub</vt:lpstr>
      <vt:lpstr>Bias!Print_Titles</vt:lpstr>
      <vt:lpstr>Compare!Print_Titles</vt:lpstr>
      <vt:lpstr>Hub!Print_Titles</vt:lpstr>
      <vt:lpstr>Journal!Print_Titles</vt:lpstr>
      <vt:lpstr>'Key Levels'!Print_Titles</vt:lpstr>
      <vt:lpstr>'Risk &amp; Gold'!Print_Titles</vt:lpstr>
      <vt:lpstr>Scorecard!Print_Titles</vt:lpstr>
      <vt:lpstr>'Start Here'!Print_Titles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Vuillemin</cp:lastModifiedBy>
  <cp:revision>0</cp:revision>
  <dcterms:created xsi:type="dcterms:W3CDTF">2026-09-19T18:28:25Z</dcterms:created>
  <dcterms:modified xsi:type="dcterms:W3CDTF">2026-09-21T17:20:03Z</dcterms:modified>
  <dc:language>en-US</dc:language>
</cp:coreProperties>
</file>